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70b7ab997423952/Backup_Archive/"/>
    </mc:Choice>
  </mc:AlternateContent>
  <xr:revisionPtr revIDLastSave="58" documentId="13_ncr:1_{0DB75F90-FF4B-4D7F-ACF5-A889CAE2B31D}" xr6:coauthVersionLast="47" xr6:coauthVersionMax="47" xr10:uidLastSave="{A2542092-04E5-0A47-9EF3-02123915A201}"/>
  <bookViews>
    <workbookView xWindow="-120" yWindow="-120" windowWidth="38640" windowHeight="21840" activeTab="2" xr2:uid="{C6E5A0A2-5F55-4F61-A191-C83A26B391F5}"/>
  </bookViews>
  <sheets>
    <sheet name="Sheet1" sheetId="1" r:id="rId1"/>
    <sheet name="Sheet2" sheetId="2" r:id="rId2"/>
    <sheet name="Sheet3" sheetId="3" r:id="rId3"/>
  </sheets>
  <definedNames>
    <definedName name="_xleta.NUMBERVALUE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Result">EVALUATE(Sheet3!$S$2)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" i="3" l="1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S1" i="3"/>
  <c r="S2" i="3"/>
  <c r="F4" i="2"/>
  <c r="E9" i="3" a="1"/>
  <c r="E9" i="3"/>
  <c r="D7" i="3" a="1"/>
  <c r="D7" i="3"/>
  <c r="D6" i="3" a="1"/>
  <c r="D6" i="3"/>
  <c r="D5" i="3" a="1"/>
  <c r="D5" i="3"/>
  <c r="E3" i="3" a="1"/>
  <c r="E3" i="3"/>
  <c r="D9" i="3" a="1"/>
  <c r="D9" i="3"/>
  <c r="F9" i="3" a="1"/>
  <c r="F9" i="3"/>
  <c r="H9" i="3" a="1"/>
  <c r="H9" i="3"/>
  <c r="D10" i="3" a="1"/>
  <c r="D10" i="3"/>
  <c r="E10" i="3" a="1"/>
  <c r="E10" i="3"/>
  <c r="F10" i="3" a="1"/>
  <c r="F10" i="3"/>
  <c r="G10" i="3" a="1"/>
  <c r="G10" i="3"/>
  <c r="H10" i="3" a="1"/>
  <c r="H10" i="3"/>
  <c r="D11" i="3" a="1"/>
  <c r="D11" i="3"/>
  <c r="E11" i="3" a="1"/>
  <c r="E11" i="3"/>
  <c r="F11" i="3" a="1"/>
  <c r="F11" i="3"/>
  <c r="G11" i="3" a="1"/>
  <c r="G11" i="3"/>
  <c r="H11" i="3" a="1"/>
  <c r="H11" i="3"/>
  <c r="D12" i="3" a="1"/>
  <c r="D12" i="3"/>
  <c r="E12" i="3" a="1"/>
  <c r="E12" i="3"/>
  <c r="F12" i="3" a="1"/>
  <c r="F12" i="3"/>
  <c r="G12" i="3" a="1"/>
  <c r="G12" i="3"/>
  <c r="H12" i="3" a="1"/>
  <c r="H12" i="3"/>
  <c r="D13" i="3" a="1"/>
  <c r="D13" i="3"/>
  <c r="E13" i="3" a="1"/>
  <c r="E13" i="3"/>
  <c r="F13" i="3" a="1"/>
  <c r="F13" i="3"/>
  <c r="G13" i="3" a="1"/>
  <c r="G13" i="3"/>
  <c r="H13" i="3" a="1"/>
  <c r="H13" i="3"/>
  <c r="D14" i="3" a="1"/>
  <c r="D14" i="3"/>
  <c r="E14" i="3" a="1"/>
  <c r="E14" i="3"/>
  <c r="F14" i="3" a="1"/>
  <c r="F14" i="3"/>
  <c r="G14" i="3" a="1"/>
  <c r="G14" i="3"/>
  <c r="H14" i="3" a="1"/>
  <c r="H14" i="3"/>
  <c r="D15" i="3" a="1"/>
  <c r="D15" i="3"/>
  <c r="E15" i="3" a="1"/>
  <c r="E15" i="3"/>
  <c r="F15" i="3" a="1"/>
  <c r="F15" i="3"/>
  <c r="G15" i="3" a="1"/>
  <c r="G15" i="3"/>
  <c r="H15" i="3" a="1"/>
  <c r="H15" i="3"/>
  <c r="D16" i="3" a="1"/>
  <c r="D16" i="3"/>
  <c r="E16" i="3" a="1"/>
  <c r="E16" i="3"/>
  <c r="F16" i="3" a="1"/>
  <c r="F16" i="3"/>
  <c r="G16" i="3" a="1"/>
  <c r="G16" i="3"/>
  <c r="H16" i="3" a="1"/>
  <c r="H16" i="3"/>
  <c r="D17" i="3" a="1"/>
  <c r="D17" i="3"/>
  <c r="E17" i="3" a="1"/>
  <c r="E17" i="3"/>
  <c r="F17" i="3" a="1"/>
  <c r="F17" i="3"/>
  <c r="G17" i="3" a="1"/>
  <c r="G17" i="3"/>
  <c r="H17" i="3" a="1"/>
  <c r="H17" i="3"/>
  <c r="D18" i="3" a="1"/>
  <c r="D18" i="3"/>
  <c r="E18" i="3" a="1"/>
  <c r="E18" i="3"/>
  <c r="F18" i="3" a="1"/>
  <c r="F18" i="3"/>
  <c r="G18" i="3" a="1"/>
  <c r="G18" i="3"/>
  <c r="H18" i="3" a="1"/>
  <c r="H18" i="3"/>
  <c r="D19" i="3" a="1"/>
  <c r="D19" i="3"/>
  <c r="E19" i="3" a="1"/>
  <c r="E19" i="3"/>
  <c r="F19" i="3" a="1"/>
  <c r="F19" i="3"/>
  <c r="G19" i="3" a="1"/>
  <c r="G19" i="3"/>
  <c r="H19" i="3" a="1"/>
  <c r="H19" i="3"/>
  <c r="D20" i="3" a="1"/>
  <c r="D20" i="3"/>
  <c r="E20" i="3" a="1"/>
  <c r="E20" i="3"/>
  <c r="F20" i="3" a="1"/>
  <c r="F20" i="3"/>
  <c r="G20" i="3" a="1"/>
  <c r="G20" i="3"/>
  <c r="H20" i="3" a="1"/>
  <c r="H20" i="3"/>
  <c r="D21" i="3" a="1"/>
  <c r="D21" i="3"/>
  <c r="E21" i="3" a="1"/>
  <c r="E21" i="3"/>
  <c r="F21" i="3" a="1"/>
  <c r="F21" i="3"/>
  <c r="G21" i="3" a="1"/>
  <c r="G21" i="3"/>
  <c r="H21" i="3" a="1"/>
  <c r="H21" i="3"/>
  <c r="D22" i="3" a="1"/>
  <c r="D22" i="3"/>
  <c r="E22" i="3" a="1"/>
  <c r="E22" i="3"/>
  <c r="F22" i="3" a="1"/>
  <c r="F22" i="3"/>
  <c r="G22" i="3" a="1"/>
  <c r="G22" i="3"/>
  <c r="H22" i="3" a="1"/>
  <c r="H22" i="3"/>
  <c r="D23" i="3" a="1"/>
  <c r="D23" i="3"/>
  <c r="E23" i="3" a="1"/>
  <c r="E23" i="3"/>
  <c r="F23" i="3" a="1"/>
  <c r="F23" i="3"/>
  <c r="G23" i="3" a="1"/>
  <c r="G23" i="3"/>
  <c r="H23" i="3" a="1"/>
  <c r="H23" i="3"/>
  <c r="D24" i="3" a="1"/>
  <c r="D24" i="3"/>
  <c r="E24" i="3" a="1"/>
  <c r="E24" i="3"/>
  <c r="F24" i="3" a="1"/>
  <c r="F24" i="3"/>
  <c r="G24" i="3" a="1"/>
  <c r="G24" i="3"/>
  <c r="H24" i="3" a="1"/>
  <c r="H24" i="3"/>
  <c r="D25" i="3" a="1"/>
  <c r="D25" i="3"/>
  <c r="E25" i="3" a="1"/>
  <c r="E25" i="3"/>
  <c r="F25" i="3" a="1"/>
  <c r="F25" i="3"/>
  <c r="G25" i="3" a="1"/>
  <c r="G25" i="3"/>
  <c r="H25" i="3" a="1"/>
  <c r="H25" i="3"/>
  <c r="D26" i="3" a="1"/>
  <c r="D26" i="3"/>
  <c r="E26" i="3" a="1"/>
  <c r="E26" i="3"/>
  <c r="F26" i="3" a="1"/>
  <c r="F26" i="3"/>
  <c r="G26" i="3" a="1"/>
  <c r="G26" i="3"/>
  <c r="H26" i="3" a="1"/>
  <c r="H26" i="3"/>
  <c r="D27" i="3" a="1"/>
  <c r="D27" i="3"/>
  <c r="E27" i="3" a="1"/>
  <c r="E27" i="3"/>
  <c r="F27" i="3" a="1"/>
  <c r="F27" i="3"/>
  <c r="G27" i="3" a="1"/>
  <c r="G27" i="3"/>
  <c r="H27" i="3" a="1"/>
  <c r="H27" i="3"/>
  <c r="D28" i="3" a="1"/>
  <c r="D28" i="3"/>
  <c r="E28" i="3" a="1"/>
  <c r="E28" i="3"/>
  <c r="F28" i="3" a="1"/>
  <c r="F28" i="3"/>
  <c r="G28" i="3" a="1"/>
  <c r="G28" i="3"/>
  <c r="H28" i="3" a="1"/>
  <c r="H28" i="3"/>
  <c r="D29" i="3" a="1"/>
  <c r="D29" i="3"/>
  <c r="E29" i="3" a="1"/>
  <c r="E29" i="3"/>
  <c r="F29" i="3" a="1"/>
  <c r="F29" i="3"/>
  <c r="G29" i="3" a="1"/>
  <c r="G29" i="3"/>
  <c r="H29" i="3" a="1"/>
  <c r="H29" i="3"/>
  <c r="D30" i="3" a="1"/>
  <c r="D30" i="3"/>
  <c r="E30" i="3" a="1"/>
  <c r="E30" i="3"/>
  <c r="F30" i="3" a="1"/>
  <c r="F30" i="3"/>
  <c r="G30" i="3" a="1"/>
  <c r="G30" i="3"/>
  <c r="H30" i="3" a="1"/>
  <c r="H30" i="3"/>
  <c r="D31" i="3" a="1"/>
  <c r="D31" i="3"/>
  <c r="E31" i="3" a="1"/>
  <c r="E31" i="3"/>
  <c r="F31" i="3" a="1"/>
  <c r="F31" i="3"/>
  <c r="G31" i="3" a="1"/>
  <c r="G31" i="3"/>
  <c r="H31" i="3" a="1"/>
  <c r="H31" i="3"/>
  <c r="D32" i="3" a="1"/>
  <c r="D32" i="3"/>
  <c r="E32" i="3" a="1"/>
  <c r="E32" i="3"/>
  <c r="F32" i="3" a="1"/>
  <c r="F32" i="3"/>
  <c r="G32" i="3" a="1"/>
  <c r="G32" i="3"/>
  <c r="H32" i="3" a="1"/>
  <c r="H32" i="3"/>
  <c r="D33" i="3" a="1"/>
  <c r="D33" i="3"/>
  <c r="E33" i="3" a="1"/>
  <c r="E33" i="3"/>
  <c r="F33" i="3" a="1"/>
  <c r="F33" i="3"/>
  <c r="G33" i="3" a="1"/>
  <c r="G33" i="3"/>
  <c r="H33" i="3" a="1"/>
  <c r="H33" i="3"/>
  <c r="D34" i="3" a="1"/>
  <c r="D34" i="3"/>
  <c r="E34" i="3" a="1"/>
  <c r="E34" i="3"/>
  <c r="F34" i="3" a="1"/>
  <c r="F34" i="3"/>
  <c r="G34" i="3" a="1"/>
  <c r="G34" i="3"/>
  <c r="H34" i="3" a="1"/>
  <c r="H34" i="3"/>
  <c r="D35" i="3" a="1"/>
  <c r="D35" i="3"/>
  <c r="E35" i="3" a="1"/>
  <c r="E35" i="3"/>
  <c r="F35" i="3" a="1"/>
  <c r="F35" i="3"/>
  <c r="G35" i="3" a="1"/>
  <c r="G35" i="3"/>
  <c r="H35" i="3" a="1"/>
  <c r="H35" i="3"/>
  <c r="D36" i="3" a="1"/>
  <c r="D36" i="3"/>
  <c r="E36" i="3" a="1"/>
  <c r="E36" i="3"/>
  <c r="F36" i="3" a="1"/>
  <c r="F36" i="3"/>
  <c r="G36" i="3" a="1"/>
  <c r="G36" i="3"/>
  <c r="H36" i="3" a="1"/>
  <c r="H36" i="3"/>
  <c r="D37" i="3" a="1"/>
  <c r="D37" i="3"/>
  <c r="E37" i="3" a="1"/>
  <c r="E37" i="3"/>
  <c r="F37" i="3" a="1"/>
  <c r="F37" i="3"/>
  <c r="G37" i="3" a="1"/>
  <c r="G37" i="3"/>
  <c r="H37" i="3" a="1"/>
  <c r="H37" i="3"/>
  <c r="D38" i="3" a="1"/>
  <c r="D38" i="3"/>
  <c r="E38" i="3" a="1"/>
  <c r="E38" i="3"/>
  <c r="F38" i="3" a="1"/>
  <c r="F38" i="3"/>
  <c r="G38" i="3" a="1"/>
  <c r="G38" i="3"/>
  <c r="H38" i="3" a="1"/>
  <c r="H38" i="3"/>
  <c r="D39" i="3" a="1"/>
  <c r="D39" i="3"/>
  <c r="E39" i="3" a="1"/>
  <c r="E39" i="3"/>
  <c r="F39" i="3" a="1"/>
  <c r="F39" i="3"/>
  <c r="G39" i="3" a="1"/>
  <c r="G39" i="3"/>
  <c r="H39" i="3" a="1"/>
  <c r="H39" i="3"/>
  <c r="D40" i="3" a="1"/>
  <c r="D40" i="3"/>
  <c r="E40" i="3" a="1"/>
  <c r="E40" i="3"/>
  <c r="F40" i="3" a="1"/>
  <c r="F40" i="3"/>
  <c r="G40" i="3" a="1"/>
  <c r="G40" i="3"/>
  <c r="H40" i="3" a="1"/>
  <c r="H40" i="3"/>
  <c r="D41" i="3" a="1"/>
  <c r="D41" i="3"/>
  <c r="E41" i="3" a="1"/>
  <c r="E41" i="3"/>
  <c r="F41" i="3" a="1"/>
  <c r="F41" i="3"/>
  <c r="G41" i="3" a="1"/>
  <c r="G41" i="3"/>
  <c r="H41" i="3" a="1"/>
  <c r="H41" i="3"/>
  <c r="D42" i="3" a="1"/>
  <c r="D42" i="3"/>
  <c r="E42" i="3" a="1"/>
  <c r="E42" i="3"/>
  <c r="F42" i="3" a="1"/>
  <c r="F42" i="3"/>
  <c r="G42" i="3" a="1"/>
  <c r="G42" i="3"/>
  <c r="H42" i="3" a="1"/>
  <c r="H42" i="3"/>
  <c r="D43" i="3" a="1"/>
  <c r="D43" i="3"/>
  <c r="E43" i="3" a="1"/>
  <c r="E43" i="3"/>
  <c r="F43" i="3" a="1"/>
  <c r="F43" i="3"/>
  <c r="G43" i="3" a="1"/>
  <c r="G43" i="3"/>
  <c r="H43" i="3" a="1"/>
  <c r="H43" i="3"/>
  <c r="D44" i="3" a="1"/>
  <c r="D44" i="3"/>
  <c r="E44" i="3" a="1"/>
  <c r="E44" i="3"/>
  <c r="F44" i="3" a="1"/>
  <c r="F44" i="3"/>
  <c r="G44" i="3" a="1"/>
  <c r="G44" i="3"/>
  <c r="H44" i="3" a="1"/>
  <c r="H44" i="3"/>
  <c r="D45" i="3" a="1"/>
  <c r="D45" i="3"/>
  <c r="E45" i="3" a="1"/>
  <c r="E45" i="3"/>
  <c r="F45" i="3" a="1"/>
  <c r="F45" i="3"/>
  <c r="G45" i="3" a="1"/>
  <c r="G45" i="3"/>
  <c r="H45" i="3" a="1"/>
  <c r="H45" i="3"/>
  <c r="D46" i="3" a="1"/>
  <c r="D46" i="3"/>
  <c r="E46" i="3" a="1"/>
  <c r="E46" i="3"/>
  <c r="F46" i="3" a="1"/>
  <c r="F46" i="3"/>
  <c r="G46" i="3" a="1"/>
  <c r="G46" i="3"/>
  <c r="H46" i="3" a="1"/>
  <c r="H46" i="3"/>
  <c r="D47" i="3" a="1"/>
  <c r="D47" i="3"/>
  <c r="E47" i="3" a="1"/>
  <c r="E47" i="3"/>
  <c r="F47" i="3" a="1"/>
  <c r="F47" i="3"/>
  <c r="G47" i="3" a="1"/>
  <c r="G47" i="3"/>
  <c r="H47" i="3" a="1"/>
  <c r="H47" i="3"/>
  <c r="D48" i="3" a="1"/>
  <c r="D48" i="3"/>
  <c r="E48" i="3" a="1"/>
  <c r="E48" i="3"/>
  <c r="F48" i="3" a="1"/>
  <c r="F48" i="3"/>
  <c r="G48" i="3" a="1"/>
  <c r="G48" i="3"/>
  <c r="H48" i="3" a="1"/>
  <c r="H48" i="3"/>
  <c r="D49" i="3" a="1"/>
  <c r="D49" i="3"/>
  <c r="E49" i="3" a="1"/>
  <c r="E49" i="3"/>
  <c r="F49" i="3" a="1"/>
  <c r="F49" i="3"/>
  <c r="G49" i="3" a="1"/>
  <c r="G49" i="3"/>
  <c r="H49" i="3" a="1"/>
  <c r="H49" i="3"/>
  <c r="D50" i="3" a="1"/>
  <c r="D50" i="3"/>
  <c r="E50" i="3" a="1"/>
  <c r="E50" i="3"/>
  <c r="F50" i="3" a="1"/>
  <c r="F50" i="3"/>
  <c r="G50" i="3" a="1"/>
  <c r="G50" i="3"/>
  <c r="H50" i="3" a="1"/>
  <c r="H50" i="3"/>
  <c r="D51" i="3" a="1"/>
  <c r="D51" i="3"/>
  <c r="E51" i="3" a="1"/>
  <c r="E51" i="3"/>
  <c r="F51" i="3" a="1"/>
  <c r="F51" i="3"/>
  <c r="G51" i="3" a="1"/>
  <c r="G51" i="3"/>
  <c r="H51" i="3" a="1"/>
  <c r="H51" i="3"/>
  <c r="D52" i="3" a="1"/>
  <c r="D52" i="3"/>
  <c r="E52" i="3" a="1"/>
  <c r="E52" i="3"/>
  <c r="F52" i="3" a="1"/>
  <c r="F52" i="3"/>
  <c r="G52" i="3" a="1"/>
  <c r="G52" i="3"/>
  <c r="H52" i="3" a="1"/>
  <c r="H52" i="3"/>
  <c r="D53" i="3" a="1"/>
  <c r="D53" i="3"/>
  <c r="E53" i="3" a="1"/>
  <c r="E53" i="3"/>
  <c r="F53" i="3" a="1"/>
  <c r="F53" i="3"/>
  <c r="G53" i="3" a="1"/>
  <c r="G53" i="3"/>
  <c r="H53" i="3" a="1"/>
  <c r="H53" i="3"/>
  <c r="D54" i="3" a="1"/>
  <c r="D54" i="3"/>
  <c r="E54" i="3" a="1"/>
  <c r="E54" i="3"/>
  <c r="F54" i="3" a="1"/>
  <c r="F54" i="3"/>
  <c r="G54" i="3" a="1"/>
  <c r="G54" i="3"/>
  <c r="H54" i="3" a="1"/>
  <c r="H54" i="3"/>
  <c r="D55" i="3" a="1"/>
  <c r="D55" i="3"/>
  <c r="E55" i="3" a="1"/>
  <c r="E55" i="3"/>
  <c r="F55" i="3" a="1"/>
  <c r="F55" i="3"/>
  <c r="G55" i="3" a="1"/>
  <c r="G55" i="3"/>
  <c r="H55" i="3" a="1"/>
  <c r="H55" i="3"/>
  <c r="D56" i="3" a="1"/>
  <c r="D56" i="3"/>
  <c r="E56" i="3" a="1"/>
  <c r="E56" i="3"/>
  <c r="F56" i="3" a="1"/>
  <c r="F56" i="3"/>
  <c r="G56" i="3" a="1"/>
  <c r="G56" i="3"/>
  <c r="H56" i="3" a="1"/>
  <c r="H56" i="3"/>
  <c r="D57" i="3" a="1"/>
  <c r="D57" i="3"/>
  <c r="E57" i="3" a="1"/>
  <c r="E57" i="3"/>
  <c r="F57" i="3" a="1"/>
  <c r="F57" i="3"/>
  <c r="G57" i="3" a="1"/>
  <c r="G57" i="3"/>
  <c r="H57" i="3" a="1"/>
  <c r="H57" i="3"/>
  <c r="D58" i="3" a="1"/>
  <c r="D58" i="3"/>
  <c r="E58" i="3" a="1"/>
  <c r="E58" i="3"/>
  <c r="F58" i="3" a="1"/>
  <c r="F58" i="3"/>
  <c r="G58" i="3" a="1"/>
  <c r="G58" i="3"/>
  <c r="H58" i="3" a="1"/>
  <c r="H58" i="3"/>
  <c r="D59" i="3" a="1"/>
  <c r="D59" i="3"/>
  <c r="E59" i="3" a="1"/>
  <c r="E59" i="3"/>
  <c r="F59" i="3" a="1"/>
  <c r="F59" i="3"/>
  <c r="G59" i="3" a="1"/>
  <c r="G59" i="3"/>
  <c r="H59" i="3" a="1"/>
  <c r="H59" i="3"/>
  <c r="D60" i="3" a="1"/>
  <c r="D60" i="3"/>
  <c r="E60" i="3" a="1"/>
  <c r="E60" i="3"/>
  <c r="F60" i="3" a="1"/>
  <c r="F60" i="3"/>
  <c r="G60" i="3" a="1"/>
  <c r="G60" i="3"/>
  <c r="H60" i="3" a="1"/>
  <c r="H60" i="3"/>
  <c r="D61" i="3" a="1"/>
  <c r="D61" i="3"/>
  <c r="E61" i="3" a="1"/>
  <c r="E61" i="3"/>
  <c r="F61" i="3" a="1"/>
  <c r="F61" i="3"/>
  <c r="G61" i="3" a="1"/>
  <c r="G61" i="3"/>
  <c r="H61" i="3" a="1"/>
  <c r="H61" i="3"/>
  <c r="D62" i="3" a="1"/>
  <c r="D62" i="3"/>
  <c r="E62" i="3" a="1"/>
  <c r="E62" i="3"/>
  <c r="F62" i="3" a="1"/>
  <c r="F62" i="3"/>
  <c r="G62" i="3" a="1"/>
  <c r="G62" i="3"/>
  <c r="H62" i="3" a="1"/>
  <c r="H62" i="3"/>
  <c r="D63" i="3" a="1"/>
  <c r="D63" i="3"/>
  <c r="E63" i="3" a="1"/>
  <c r="E63" i="3"/>
  <c r="F63" i="3" a="1"/>
  <c r="F63" i="3"/>
  <c r="G63" i="3" a="1"/>
  <c r="G63" i="3"/>
  <c r="H63" i="3" a="1"/>
  <c r="H63" i="3"/>
  <c r="D64" i="3" a="1"/>
  <c r="D64" i="3"/>
  <c r="E64" i="3" a="1"/>
  <c r="E64" i="3"/>
  <c r="F64" i="3" a="1"/>
  <c r="F64" i="3"/>
  <c r="G64" i="3" a="1"/>
  <c r="G64" i="3"/>
  <c r="H64" i="3" a="1"/>
  <c r="H64" i="3"/>
  <c r="D65" i="3" a="1"/>
  <c r="D65" i="3"/>
  <c r="E65" i="3" a="1"/>
  <c r="E65" i="3"/>
  <c r="F65" i="3" a="1"/>
  <c r="F65" i="3"/>
  <c r="G65" i="3" a="1"/>
  <c r="G65" i="3"/>
  <c r="H65" i="3" a="1"/>
  <c r="H65" i="3"/>
  <c r="D66" i="3" a="1"/>
  <c r="D66" i="3"/>
  <c r="E66" i="3" a="1"/>
  <c r="E66" i="3"/>
  <c r="F66" i="3" a="1"/>
  <c r="F66" i="3"/>
  <c r="G66" i="3" a="1"/>
  <c r="G66" i="3"/>
  <c r="H66" i="3" a="1"/>
  <c r="H66" i="3"/>
  <c r="D67" i="3" a="1"/>
  <c r="D67" i="3"/>
  <c r="E67" i="3" a="1"/>
  <c r="E67" i="3"/>
  <c r="F67" i="3" a="1"/>
  <c r="F67" i="3"/>
  <c r="G67" i="3" a="1"/>
  <c r="G67" i="3"/>
  <c r="H67" i="3" a="1"/>
  <c r="H67" i="3"/>
  <c r="D68" i="3" a="1"/>
  <c r="D68" i="3"/>
  <c r="E68" i="3" a="1"/>
  <c r="E68" i="3"/>
  <c r="F68" i="3" a="1"/>
  <c r="F68" i="3"/>
  <c r="G68" i="3" a="1"/>
  <c r="G68" i="3"/>
  <c r="H68" i="3" a="1"/>
  <c r="H68" i="3"/>
  <c r="D69" i="3" a="1"/>
  <c r="D69" i="3"/>
  <c r="E69" i="3" a="1"/>
  <c r="E69" i="3"/>
  <c r="F69" i="3" a="1"/>
  <c r="F69" i="3"/>
  <c r="G69" i="3" a="1"/>
  <c r="G69" i="3"/>
  <c r="H69" i="3" a="1"/>
  <c r="H69" i="3"/>
  <c r="D70" i="3" a="1"/>
  <c r="D70" i="3"/>
  <c r="E70" i="3" a="1"/>
  <c r="E70" i="3"/>
  <c r="F70" i="3" a="1"/>
  <c r="F70" i="3"/>
  <c r="G70" i="3" a="1"/>
  <c r="G70" i="3"/>
  <c r="H70" i="3" a="1"/>
  <c r="H70" i="3"/>
  <c r="D71" i="3" a="1"/>
  <c r="D71" i="3"/>
  <c r="E71" i="3" a="1"/>
  <c r="E71" i="3"/>
  <c r="F71" i="3" a="1"/>
  <c r="F71" i="3"/>
  <c r="G71" i="3" a="1"/>
  <c r="G71" i="3"/>
  <c r="H71" i="3" a="1"/>
  <c r="H71" i="3"/>
  <c r="D72" i="3" a="1"/>
  <c r="D72" i="3"/>
  <c r="E72" i="3" a="1"/>
  <c r="E72" i="3"/>
  <c r="F72" i="3" a="1"/>
  <c r="F72" i="3"/>
  <c r="G72" i="3" a="1"/>
  <c r="G72" i="3"/>
  <c r="H72" i="3" a="1"/>
  <c r="H72" i="3"/>
  <c r="D73" i="3" a="1"/>
  <c r="D73" i="3"/>
  <c r="E73" i="3" a="1"/>
  <c r="E73" i="3"/>
  <c r="F73" i="3" a="1"/>
  <c r="F73" i="3"/>
  <c r="G73" i="3" a="1"/>
  <c r="G73" i="3"/>
  <c r="H73" i="3" a="1"/>
  <c r="H73" i="3"/>
  <c r="D74" i="3" a="1"/>
  <c r="D74" i="3"/>
  <c r="E74" i="3" a="1"/>
  <c r="E74" i="3"/>
  <c r="F74" i="3" a="1"/>
  <c r="F74" i="3"/>
  <c r="G74" i="3" a="1"/>
  <c r="G74" i="3"/>
  <c r="H74" i="3" a="1"/>
  <c r="H74" i="3"/>
  <c r="D75" i="3" a="1"/>
  <c r="D75" i="3"/>
  <c r="E75" i="3" a="1"/>
  <c r="E75" i="3"/>
  <c r="F75" i="3" a="1"/>
  <c r="F75" i="3"/>
  <c r="G75" i="3" a="1"/>
  <c r="G75" i="3"/>
  <c r="H75" i="3" a="1"/>
  <c r="H75" i="3"/>
  <c r="D76" i="3" a="1"/>
  <c r="D76" i="3"/>
  <c r="E76" i="3" a="1"/>
  <c r="E76" i="3"/>
  <c r="F76" i="3" a="1"/>
  <c r="F76" i="3"/>
  <c r="G76" i="3" a="1"/>
  <c r="G76" i="3"/>
  <c r="H76" i="3" a="1"/>
  <c r="H76" i="3"/>
  <c r="D77" i="3" a="1"/>
  <c r="D77" i="3"/>
  <c r="E77" i="3" a="1"/>
  <c r="E77" i="3"/>
  <c r="F77" i="3" a="1"/>
  <c r="F77" i="3"/>
  <c r="G77" i="3" a="1"/>
  <c r="G77" i="3"/>
  <c r="H77" i="3" a="1"/>
  <c r="H77" i="3"/>
  <c r="D78" i="3" a="1"/>
  <c r="D78" i="3"/>
  <c r="E78" i="3" a="1"/>
  <c r="E78" i="3"/>
  <c r="F78" i="3" a="1"/>
  <c r="F78" i="3"/>
  <c r="G78" i="3" a="1"/>
  <c r="G78" i="3"/>
  <c r="H78" i="3" a="1"/>
  <c r="H78" i="3"/>
  <c r="D79" i="3" a="1"/>
  <c r="D79" i="3"/>
  <c r="E79" i="3" a="1"/>
  <c r="E79" i="3"/>
  <c r="F79" i="3" a="1"/>
  <c r="F79" i="3"/>
  <c r="G79" i="3" a="1"/>
  <c r="G79" i="3"/>
  <c r="H79" i="3" a="1"/>
  <c r="H79" i="3"/>
  <c r="D80" i="3" a="1"/>
  <c r="D80" i="3"/>
  <c r="E80" i="3" a="1"/>
  <c r="E80" i="3"/>
  <c r="F80" i="3" a="1"/>
  <c r="F80" i="3"/>
  <c r="G80" i="3" a="1"/>
  <c r="G80" i="3"/>
  <c r="H80" i="3" a="1"/>
  <c r="H80" i="3"/>
  <c r="D81" i="3" a="1"/>
  <c r="D81" i="3"/>
  <c r="E81" i="3" a="1"/>
  <c r="E81" i="3"/>
  <c r="F81" i="3" a="1"/>
  <c r="F81" i="3"/>
  <c r="G81" i="3" a="1"/>
  <c r="G81" i="3"/>
  <c r="H81" i="3" a="1"/>
  <c r="H81" i="3"/>
  <c r="D82" i="3" a="1"/>
  <c r="D82" i="3"/>
  <c r="E82" i="3" a="1"/>
  <c r="E82" i="3"/>
  <c r="F82" i="3" a="1"/>
  <c r="F82" i="3"/>
  <c r="G82" i="3" a="1"/>
  <c r="G82" i="3"/>
  <c r="H82" i="3" a="1"/>
  <c r="H82" i="3"/>
  <c r="D83" i="3" a="1"/>
  <c r="D83" i="3"/>
  <c r="E83" i="3" a="1"/>
  <c r="E83" i="3"/>
  <c r="F83" i="3" a="1"/>
  <c r="F83" i="3"/>
  <c r="G83" i="3" a="1"/>
  <c r="G83" i="3"/>
  <c r="H83" i="3" a="1"/>
  <c r="H83" i="3"/>
  <c r="D84" i="3" a="1"/>
  <c r="D84" i="3"/>
  <c r="E84" i="3" a="1"/>
  <c r="E84" i="3"/>
  <c r="F84" i="3" a="1"/>
  <c r="F84" i="3"/>
  <c r="G84" i="3" a="1"/>
  <c r="G84" i="3"/>
  <c r="H84" i="3" a="1"/>
  <c r="H84" i="3"/>
  <c r="D85" i="3" a="1"/>
  <c r="D85" i="3"/>
  <c r="E85" i="3" a="1"/>
  <c r="E85" i="3"/>
  <c r="F85" i="3" a="1"/>
  <c r="F85" i="3"/>
  <c r="G85" i="3" a="1"/>
  <c r="G85" i="3"/>
  <c r="H85" i="3" a="1"/>
  <c r="H85" i="3"/>
  <c r="D86" i="3" a="1"/>
  <c r="D86" i="3"/>
  <c r="E86" i="3" a="1"/>
  <c r="E86" i="3"/>
  <c r="F86" i="3" a="1"/>
  <c r="F86" i="3"/>
  <c r="G86" i="3" a="1"/>
  <c r="G86" i="3"/>
  <c r="H86" i="3" a="1"/>
  <c r="H86" i="3"/>
  <c r="D87" i="3" a="1"/>
  <c r="D87" i="3"/>
  <c r="E87" i="3" a="1"/>
  <c r="E87" i="3"/>
  <c r="F87" i="3" a="1"/>
  <c r="F87" i="3"/>
  <c r="G87" i="3" a="1"/>
  <c r="G87" i="3"/>
  <c r="H87" i="3" a="1"/>
  <c r="H87" i="3"/>
  <c r="D88" i="3" a="1"/>
  <c r="D88" i="3"/>
  <c r="E88" i="3" a="1"/>
  <c r="E88" i="3"/>
  <c r="F88" i="3" a="1"/>
  <c r="F88" i="3"/>
  <c r="G88" i="3" a="1"/>
  <c r="G88" i="3"/>
  <c r="H88" i="3" a="1"/>
  <c r="H88" i="3"/>
  <c r="D89" i="3" a="1"/>
  <c r="D89" i="3"/>
  <c r="E89" i="3" a="1"/>
  <c r="E89" i="3"/>
  <c r="F89" i="3" a="1"/>
  <c r="F89" i="3"/>
  <c r="G89" i="3" a="1"/>
  <c r="G89" i="3"/>
  <c r="H89" i="3" a="1"/>
  <c r="H89" i="3"/>
  <c r="D90" i="3" a="1"/>
  <c r="D90" i="3"/>
  <c r="E90" i="3" a="1"/>
  <c r="E90" i="3"/>
  <c r="F90" i="3" a="1"/>
  <c r="F90" i="3"/>
  <c r="G90" i="3" a="1"/>
  <c r="G90" i="3"/>
  <c r="H90" i="3" a="1"/>
  <c r="H90" i="3"/>
  <c r="D91" i="3" a="1"/>
  <c r="D91" i="3"/>
  <c r="E91" i="3" a="1"/>
  <c r="E91" i="3"/>
  <c r="F91" i="3" a="1"/>
  <c r="F91" i="3"/>
  <c r="G91" i="3" a="1"/>
  <c r="G91" i="3"/>
  <c r="H91" i="3" a="1"/>
  <c r="H91" i="3"/>
  <c r="D92" i="3" a="1"/>
  <c r="D92" i="3"/>
  <c r="E92" i="3" a="1"/>
  <c r="E92" i="3"/>
  <c r="F92" i="3" a="1"/>
  <c r="F92" i="3"/>
  <c r="G92" i="3" a="1"/>
  <c r="G92" i="3"/>
  <c r="H92" i="3" a="1"/>
  <c r="H92" i="3"/>
  <c r="D93" i="3" a="1"/>
  <c r="D93" i="3"/>
  <c r="E93" i="3" a="1"/>
  <c r="E93" i="3"/>
  <c r="F93" i="3" a="1"/>
  <c r="F93" i="3"/>
  <c r="G93" i="3" a="1"/>
  <c r="G93" i="3"/>
  <c r="H93" i="3" a="1"/>
  <c r="H93" i="3"/>
  <c r="D94" i="3" a="1"/>
  <c r="D94" i="3"/>
  <c r="E94" i="3" a="1"/>
  <c r="E94" i="3"/>
  <c r="F94" i="3" a="1"/>
  <c r="F94" i="3"/>
  <c r="G94" i="3" a="1"/>
  <c r="G94" i="3"/>
  <c r="H94" i="3" a="1"/>
  <c r="H94" i="3"/>
  <c r="D95" i="3" a="1"/>
  <c r="D95" i="3"/>
  <c r="E95" i="3" a="1"/>
  <c r="E95" i="3"/>
  <c r="F95" i="3" a="1"/>
  <c r="F95" i="3"/>
  <c r="G95" i="3" a="1"/>
  <c r="G95" i="3"/>
  <c r="H95" i="3" a="1"/>
  <c r="H95" i="3"/>
  <c r="D96" i="3" a="1"/>
  <c r="D96" i="3"/>
  <c r="E96" i="3" a="1"/>
  <c r="E96" i="3"/>
  <c r="F96" i="3" a="1"/>
  <c r="F96" i="3"/>
  <c r="G96" i="3" a="1"/>
  <c r="G96" i="3"/>
  <c r="H96" i="3" a="1"/>
  <c r="H96" i="3"/>
  <c r="D97" i="3" a="1"/>
  <c r="D97" i="3"/>
  <c r="E97" i="3" a="1"/>
  <c r="E97" i="3"/>
  <c r="F97" i="3" a="1"/>
  <c r="F97" i="3"/>
  <c r="G97" i="3" a="1"/>
  <c r="G97" i="3"/>
  <c r="H97" i="3" a="1"/>
  <c r="H97" i="3"/>
  <c r="D98" i="3" a="1"/>
  <c r="D98" i="3"/>
  <c r="E98" i="3" a="1"/>
  <c r="E98" i="3"/>
  <c r="F98" i="3" a="1"/>
  <c r="F98" i="3"/>
  <c r="G98" i="3" a="1"/>
  <c r="G98" i="3"/>
  <c r="H98" i="3" a="1"/>
  <c r="H98" i="3"/>
  <c r="D99" i="3" a="1"/>
  <c r="D99" i="3"/>
  <c r="E99" i="3" a="1"/>
  <c r="E99" i="3"/>
  <c r="F99" i="3" a="1"/>
  <c r="F99" i="3"/>
  <c r="G99" i="3" a="1"/>
  <c r="G99" i="3"/>
  <c r="H99" i="3" a="1"/>
  <c r="H99" i="3"/>
  <c r="D100" i="3" a="1"/>
  <c r="D100" i="3"/>
  <c r="E100" i="3" a="1"/>
  <c r="E100" i="3"/>
  <c r="F100" i="3" a="1"/>
  <c r="F100" i="3"/>
  <c r="G100" i="3" a="1"/>
  <c r="G100" i="3"/>
  <c r="H100" i="3" a="1"/>
  <c r="H100" i="3"/>
  <c r="D101" i="3" a="1"/>
  <c r="D101" i="3"/>
  <c r="E101" i="3" a="1"/>
  <c r="E101" i="3"/>
  <c r="F101" i="3" a="1"/>
  <c r="F101" i="3"/>
  <c r="G101" i="3" a="1"/>
  <c r="G101" i="3"/>
  <c r="H101" i="3" a="1"/>
  <c r="H101" i="3"/>
  <c r="D102" i="3" a="1"/>
  <c r="D102" i="3"/>
  <c r="E102" i="3" a="1"/>
  <c r="E102" i="3"/>
  <c r="F102" i="3" a="1"/>
  <c r="F102" i="3"/>
  <c r="G102" i="3" a="1"/>
  <c r="G102" i="3"/>
  <c r="H102" i="3" a="1"/>
  <c r="H102" i="3"/>
  <c r="D103" i="3" a="1"/>
  <c r="D103" i="3"/>
  <c r="E103" i="3" a="1"/>
  <c r="E103" i="3"/>
  <c r="F103" i="3" a="1"/>
  <c r="F103" i="3"/>
  <c r="G103" i="3" a="1"/>
  <c r="G103" i="3"/>
  <c r="H103" i="3" a="1"/>
  <c r="H103" i="3"/>
  <c r="D104" i="3" a="1"/>
  <c r="D104" i="3"/>
  <c r="E104" i="3" a="1"/>
  <c r="E104" i="3"/>
  <c r="F104" i="3" a="1"/>
  <c r="F104" i="3"/>
  <c r="G104" i="3" a="1"/>
  <c r="G104" i="3"/>
  <c r="H104" i="3" a="1"/>
  <c r="H104" i="3"/>
  <c r="D105" i="3" a="1"/>
  <c r="D105" i="3"/>
  <c r="E105" i="3" a="1"/>
  <c r="E105" i="3"/>
  <c r="F105" i="3" a="1"/>
  <c r="F105" i="3"/>
  <c r="G105" i="3" a="1"/>
  <c r="G105" i="3"/>
  <c r="H105" i="3" a="1"/>
  <c r="H105" i="3"/>
  <c r="D106" i="3" a="1"/>
  <c r="D106" i="3"/>
  <c r="E106" i="3" a="1"/>
  <c r="E106" i="3"/>
  <c r="F106" i="3" a="1"/>
  <c r="F106" i="3"/>
  <c r="G106" i="3" a="1"/>
  <c r="G106" i="3"/>
  <c r="H106" i="3" a="1"/>
  <c r="H106" i="3"/>
  <c r="D107" i="3" a="1"/>
  <c r="D107" i="3"/>
  <c r="E107" i="3" a="1"/>
  <c r="E107" i="3"/>
  <c r="F107" i="3" a="1"/>
  <c r="F107" i="3"/>
  <c r="G107" i="3" a="1"/>
  <c r="G107" i="3"/>
  <c r="H107" i="3" a="1"/>
  <c r="H107" i="3"/>
  <c r="D108" i="3" a="1"/>
  <c r="D108" i="3"/>
  <c r="E108" i="3" a="1"/>
  <c r="E108" i="3"/>
  <c r="F108" i="3" a="1"/>
  <c r="F108" i="3"/>
  <c r="G108" i="3" a="1"/>
  <c r="G108" i="3"/>
  <c r="H108" i="3" a="1"/>
  <c r="H108" i="3"/>
  <c r="D109" i="3" a="1"/>
  <c r="D109" i="3"/>
  <c r="E109" i="3" a="1"/>
  <c r="E109" i="3"/>
  <c r="F109" i="3" a="1"/>
  <c r="F109" i="3"/>
  <c r="G109" i="3" a="1"/>
  <c r="G109" i="3"/>
  <c r="H109" i="3" a="1"/>
  <c r="H109" i="3"/>
  <c r="D110" i="3" a="1"/>
  <c r="D110" i="3"/>
  <c r="E110" i="3" a="1"/>
  <c r="E110" i="3"/>
  <c r="F110" i="3" a="1"/>
  <c r="F110" i="3"/>
  <c r="G110" i="3" a="1"/>
  <c r="G110" i="3"/>
  <c r="H110" i="3" a="1"/>
  <c r="H110" i="3"/>
  <c r="D111" i="3" a="1"/>
  <c r="D111" i="3"/>
  <c r="E111" i="3" a="1"/>
  <c r="E111" i="3"/>
  <c r="F111" i="3" a="1"/>
  <c r="F111" i="3"/>
  <c r="G111" i="3" a="1"/>
  <c r="G111" i="3"/>
  <c r="H111" i="3" a="1"/>
  <c r="H111" i="3"/>
  <c r="D112" i="3" a="1"/>
  <c r="D112" i="3"/>
  <c r="E112" i="3" a="1"/>
  <c r="E112" i="3"/>
  <c r="F112" i="3" a="1"/>
  <c r="F112" i="3"/>
  <c r="G112" i="3" a="1"/>
  <c r="G112" i="3"/>
  <c r="H112" i="3" a="1"/>
  <c r="H112" i="3"/>
  <c r="D113" i="3" a="1"/>
  <c r="D113" i="3"/>
  <c r="E113" i="3" a="1"/>
  <c r="E113" i="3"/>
  <c r="F113" i="3" a="1"/>
  <c r="F113" i="3"/>
  <c r="G113" i="3" a="1"/>
  <c r="G113" i="3"/>
  <c r="H113" i="3" a="1"/>
  <c r="H113" i="3"/>
  <c r="D114" i="3" a="1"/>
  <c r="D114" i="3"/>
  <c r="E114" i="3" a="1"/>
  <c r="E114" i="3"/>
  <c r="F114" i="3" a="1"/>
  <c r="F114" i="3"/>
  <c r="G114" i="3" a="1"/>
  <c r="G114" i="3"/>
  <c r="H114" i="3" a="1"/>
  <c r="H114" i="3"/>
  <c r="D115" i="3" a="1"/>
  <c r="D115" i="3"/>
  <c r="E115" i="3" a="1"/>
  <c r="E115" i="3"/>
  <c r="F115" i="3" a="1"/>
  <c r="F115" i="3"/>
  <c r="G115" i="3" a="1"/>
  <c r="G115" i="3"/>
  <c r="H115" i="3" a="1"/>
  <c r="H115" i="3"/>
  <c r="D116" i="3" a="1"/>
  <c r="D116" i="3"/>
  <c r="E116" i="3" a="1"/>
  <c r="E116" i="3"/>
  <c r="F116" i="3" a="1"/>
  <c r="F116" i="3"/>
  <c r="G116" i="3" a="1"/>
  <c r="G116" i="3"/>
  <c r="H116" i="3" a="1"/>
  <c r="H116" i="3"/>
  <c r="D117" i="3" a="1"/>
  <c r="D117" i="3"/>
  <c r="E117" i="3" a="1"/>
  <c r="E117" i="3"/>
  <c r="F117" i="3" a="1"/>
  <c r="F117" i="3"/>
  <c r="G117" i="3" a="1"/>
  <c r="G117" i="3"/>
  <c r="H117" i="3" a="1"/>
  <c r="H117" i="3"/>
  <c r="D118" i="3" a="1"/>
  <c r="D118" i="3"/>
  <c r="E118" i="3" a="1"/>
  <c r="E118" i="3"/>
  <c r="F118" i="3" a="1"/>
  <c r="F118" i="3"/>
  <c r="G118" i="3" a="1"/>
  <c r="G118" i="3"/>
  <c r="H118" i="3" a="1"/>
  <c r="H118" i="3"/>
  <c r="D119" i="3" a="1"/>
  <c r="D119" i="3"/>
  <c r="E119" i="3" a="1"/>
  <c r="E119" i="3"/>
  <c r="F119" i="3" a="1"/>
  <c r="F119" i="3"/>
  <c r="G119" i="3" a="1"/>
  <c r="G119" i="3"/>
  <c r="H119" i="3" a="1"/>
  <c r="H119" i="3"/>
  <c r="D120" i="3" a="1"/>
  <c r="D120" i="3"/>
  <c r="E120" i="3" a="1"/>
  <c r="E120" i="3"/>
  <c r="F120" i="3" a="1"/>
  <c r="F120" i="3"/>
  <c r="G120" i="3" a="1"/>
  <c r="G120" i="3"/>
  <c r="H120" i="3" a="1"/>
  <c r="H120" i="3"/>
  <c r="D121" i="3" a="1"/>
  <c r="D121" i="3"/>
  <c r="E121" i="3" a="1"/>
  <c r="E121" i="3"/>
  <c r="F121" i="3" a="1"/>
  <c r="F121" i="3"/>
  <c r="G121" i="3" a="1"/>
  <c r="G121" i="3"/>
  <c r="H121" i="3" a="1"/>
  <c r="H121" i="3"/>
  <c r="D122" i="3" a="1"/>
  <c r="D122" i="3"/>
  <c r="E122" i="3" a="1"/>
  <c r="E122" i="3"/>
  <c r="F122" i="3" a="1"/>
  <c r="F122" i="3"/>
  <c r="G122" i="3" a="1"/>
  <c r="G122" i="3"/>
  <c r="H122" i="3" a="1"/>
  <c r="H122" i="3"/>
  <c r="D123" i="3" a="1"/>
  <c r="D123" i="3"/>
  <c r="E123" i="3" a="1"/>
  <c r="E123" i="3"/>
  <c r="F123" i="3" a="1"/>
  <c r="F123" i="3"/>
  <c r="G123" i="3" a="1"/>
  <c r="G123" i="3"/>
  <c r="H123" i="3" a="1"/>
  <c r="H123" i="3"/>
  <c r="D124" i="3" a="1"/>
  <c r="D124" i="3"/>
  <c r="E124" i="3" a="1"/>
  <c r="E124" i="3"/>
  <c r="F124" i="3" a="1"/>
  <c r="F124" i="3"/>
  <c r="G124" i="3" a="1"/>
  <c r="G124" i="3"/>
  <c r="H124" i="3" a="1"/>
  <c r="H124" i="3"/>
  <c r="D125" i="3" a="1"/>
  <c r="D125" i="3"/>
  <c r="E125" i="3" a="1"/>
  <c r="E125" i="3"/>
  <c r="F125" i="3" a="1"/>
  <c r="F125" i="3"/>
  <c r="G125" i="3" a="1"/>
  <c r="G125" i="3"/>
  <c r="H125" i="3" a="1"/>
  <c r="H125" i="3"/>
  <c r="D126" i="3" a="1"/>
  <c r="D126" i="3"/>
  <c r="E126" i="3" a="1"/>
  <c r="E126" i="3"/>
  <c r="F126" i="3" a="1"/>
  <c r="F126" i="3"/>
  <c r="G126" i="3" a="1"/>
  <c r="G126" i="3"/>
  <c r="H126" i="3" a="1"/>
  <c r="H126" i="3"/>
  <c r="D127" i="3" a="1"/>
  <c r="D127" i="3"/>
  <c r="E127" i="3" a="1"/>
  <c r="E127" i="3"/>
  <c r="F127" i="3" a="1"/>
  <c r="F127" i="3"/>
  <c r="G127" i="3" a="1"/>
  <c r="G127" i="3"/>
  <c r="H127" i="3" a="1"/>
  <c r="H127" i="3"/>
  <c r="D128" i="3" a="1"/>
  <c r="D128" i="3"/>
  <c r="E128" i="3" a="1"/>
  <c r="E128" i="3"/>
  <c r="F128" i="3" a="1"/>
  <c r="F128" i="3"/>
  <c r="G128" i="3" a="1"/>
  <c r="G128" i="3"/>
  <c r="H128" i="3" a="1"/>
  <c r="H128" i="3"/>
  <c r="D129" i="3" a="1"/>
  <c r="D129" i="3"/>
  <c r="E129" i="3" a="1"/>
  <c r="E129" i="3"/>
  <c r="F129" i="3" a="1"/>
  <c r="F129" i="3"/>
  <c r="G129" i="3" a="1"/>
  <c r="G129" i="3"/>
  <c r="H129" i="3" a="1"/>
  <c r="H129" i="3"/>
  <c r="D130" i="3" a="1"/>
  <c r="D130" i="3"/>
  <c r="E130" i="3" a="1"/>
  <c r="E130" i="3"/>
  <c r="F130" i="3" a="1"/>
  <c r="F130" i="3"/>
  <c r="G130" i="3" a="1"/>
  <c r="G130" i="3"/>
  <c r="H130" i="3" a="1"/>
  <c r="H130" i="3"/>
  <c r="D131" i="3" a="1"/>
  <c r="D131" i="3"/>
  <c r="E131" i="3" a="1"/>
  <c r="E131" i="3"/>
  <c r="F131" i="3" a="1"/>
  <c r="F131" i="3"/>
  <c r="G131" i="3" a="1"/>
  <c r="G131" i="3"/>
  <c r="H131" i="3" a="1"/>
  <c r="H131" i="3"/>
  <c r="D132" i="3" a="1"/>
  <c r="D132" i="3"/>
  <c r="E132" i="3" a="1"/>
  <c r="E132" i="3"/>
  <c r="F132" i="3" a="1"/>
  <c r="F132" i="3"/>
  <c r="G132" i="3" a="1"/>
  <c r="G132" i="3"/>
  <c r="H132" i="3" a="1"/>
  <c r="H132" i="3"/>
  <c r="D133" i="3" a="1"/>
  <c r="D133" i="3"/>
  <c r="E133" i="3" a="1"/>
  <c r="E133" i="3"/>
  <c r="F133" i="3" a="1"/>
  <c r="F133" i="3"/>
  <c r="G133" i="3" a="1"/>
  <c r="G133" i="3"/>
  <c r="H133" i="3" a="1"/>
  <c r="H133" i="3"/>
  <c r="D134" i="3" a="1"/>
  <c r="D134" i="3"/>
  <c r="E134" i="3" a="1"/>
  <c r="E134" i="3"/>
  <c r="F134" i="3" a="1"/>
  <c r="F134" i="3"/>
  <c r="G134" i="3" a="1"/>
  <c r="G134" i="3"/>
  <c r="H134" i="3" a="1"/>
  <c r="H134" i="3"/>
  <c r="D135" i="3" a="1"/>
  <c r="D135" i="3"/>
  <c r="E135" i="3" a="1"/>
  <c r="E135" i="3"/>
  <c r="F135" i="3" a="1"/>
  <c r="F135" i="3"/>
  <c r="G135" i="3" a="1"/>
  <c r="G135" i="3"/>
  <c r="H135" i="3" a="1"/>
  <c r="H135" i="3"/>
  <c r="D136" i="3" a="1"/>
  <c r="D136" i="3"/>
  <c r="E136" i="3" a="1"/>
  <c r="E136" i="3"/>
  <c r="F136" i="3" a="1"/>
  <c r="F136" i="3"/>
  <c r="G136" i="3" a="1"/>
  <c r="G136" i="3"/>
  <c r="H136" i="3" a="1"/>
  <c r="H136" i="3"/>
  <c r="D137" i="3" a="1"/>
  <c r="D137" i="3"/>
  <c r="E137" i="3" a="1"/>
  <c r="E137" i="3"/>
  <c r="F137" i="3" a="1"/>
  <c r="F137" i="3"/>
  <c r="G137" i="3" a="1"/>
  <c r="G137" i="3"/>
  <c r="H137" i="3" a="1"/>
  <c r="H137" i="3"/>
  <c r="D138" i="3" a="1"/>
  <c r="D138" i="3"/>
  <c r="E138" i="3" a="1"/>
  <c r="E138" i="3"/>
  <c r="F138" i="3" a="1"/>
  <c r="F138" i="3"/>
  <c r="G138" i="3" a="1"/>
  <c r="G138" i="3"/>
  <c r="H138" i="3" a="1"/>
  <c r="H138" i="3"/>
  <c r="D139" i="3" a="1"/>
  <c r="D139" i="3"/>
  <c r="E139" i="3" a="1"/>
  <c r="E139" i="3"/>
  <c r="F139" i="3" a="1"/>
  <c r="F139" i="3"/>
  <c r="G139" i="3" a="1"/>
  <c r="G139" i="3"/>
  <c r="H139" i="3" a="1"/>
  <c r="H139" i="3"/>
  <c r="D140" i="3" a="1"/>
  <c r="D140" i="3"/>
  <c r="E140" i="3" a="1"/>
  <c r="E140" i="3"/>
  <c r="F140" i="3" a="1"/>
  <c r="F140" i="3"/>
  <c r="G140" i="3" a="1"/>
  <c r="G140" i="3"/>
  <c r="H140" i="3" a="1"/>
  <c r="H140" i="3"/>
  <c r="D141" i="3" a="1"/>
  <c r="D141" i="3"/>
  <c r="E141" i="3" a="1"/>
  <c r="E141" i="3"/>
  <c r="F141" i="3" a="1"/>
  <c r="F141" i="3"/>
  <c r="G141" i="3" a="1"/>
  <c r="G141" i="3"/>
  <c r="H141" i="3" a="1"/>
  <c r="H141" i="3"/>
  <c r="D142" i="3" a="1"/>
  <c r="D142" i="3"/>
  <c r="E142" i="3" a="1"/>
  <c r="E142" i="3"/>
  <c r="F142" i="3" a="1"/>
  <c r="F142" i="3"/>
  <c r="G142" i="3" a="1"/>
  <c r="G142" i="3"/>
  <c r="H142" i="3" a="1"/>
  <c r="H142" i="3"/>
  <c r="D143" i="3" a="1"/>
  <c r="D143" i="3"/>
  <c r="E143" i="3" a="1"/>
  <c r="E143" i="3"/>
  <c r="F143" i="3" a="1"/>
  <c r="F143" i="3"/>
  <c r="G143" i="3" a="1"/>
  <c r="G143" i="3"/>
  <c r="H143" i="3" a="1"/>
  <c r="H143" i="3"/>
  <c r="D144" i="3" a="1"/>
  <c r="D144" i="3"/>
  <c r="E144" i="3" a="1"/>
  <c r="E144" i="3"/>
  <c r="F144" i="3" a="1"/>
  <c r="F144" i="3"/>
  <c r="G144" i="3" a="1"/>
  <c r="G144" i="3"/>
  <c r="H144" i="3" a="1"/>
  <c r="H144" i="3"/>
  <c r="D145" i="3" a="1"/>
  <c r="D145" i="3"/>
  <c r="E145" i="3" a="1"/>
  <c r="E145" i="3"/>
  <c r="F145" i="3" a="1"/>
  <c r="F145" i="3"/>
  <c r="G145" i="3" a="1"/>
  <c r="G145" i="3"/>
  <c r="H145" i="3" a="1"/>
  <c r="H145" i="3"/>
  <c r="D146" i="3" a="1"/>
  <c r="D146" i="3"/>
  <c r="E146" i="3" a="1"/>
  <c r="E146" i="3"/>
  <c r="F146" i="3" a="1"/>
  <c r="F146" i="3"/>
  <c r="G146" i="3" a="1"/>
  <c r="G146" i="3"/>
  <c r="H146" i="3" a="1"/>
  <c r="H146" i="3"/>
  <c r="D147" i="3" a="1"/>
  <c r="D147" i="3"/>
  <c r="E147" i="3" a="1"/>
  <c r="E147" i="3"/>
  <c r="F147" i="3" a="1"/>
  <c r="F147" i="3"/>
  <c r="G147" i="3" a="1"/>
  <c r="G147" i="3"/>
  <c r="H147" i="3" a="1"/>
  <c r="H147" i="3"/>
  <c r="D148" i="3" a="1"/>
  <c r="D148" i="3"/>
  <c r="E148" i="3" a="1"/>
  <c r="E148" i="3"/>
  <c r="F148" i="3" a="1"/>
  <c r="F148" i="3"/>
  <c r="G148" i="3" a="1"/>
  <c r="G148" i="3"/>
  <c r="H148" i="3" a="1"/>
  <c r="H148" i="3"/>
  <c r="D149" i="3" a="1"/>
  <c r="D149" i="3"/>
  <c r="E149" i="3" a="1"/>
  <c r="E149" i="3"/>
  <c r="F149" i="3" a="1"/>
  <c r="F149" i="3"/>
  <c r="G149" i="3" a="1"/>
  <c r="G149" i="3"/>
  <c r="H149" i="3" a="1"/>
  <c r="H149" i="3"/>
  <c r="D150" i="3" a="1"/>
  <c r="D150" i="3"/>
  <c r="E150" i="3" a="1"/>
  <c r="E150" i="3"/>
  <c r="F150" i="3" a="1"/>
  <c r="F150" i="3"/>
  <c r="G150" i="3" a="1"/>
  <c r="G150" i="3"/>
  <c r="H150" i="3" a="1"/>
  <c r="H150" i="3"/>
  <c r="D151" i="3" a="1"/>
  <c r="D151" i="3"/>
  <c r="E151" i="3" a="1"/>
  <c r="E151" i="3"/>
  <c r="F151" i="3" a="1"/>
  <c r="F151" i="3"/>
  <c r="G151" i="3" a="1"/>
  <c r="G151" i="3"/>
  <c r="H151" i="3" a="1"/>
  <c r="H151" i="3"/>
  <c r="D152" i="3" a="1"/>
  <c r="D152" i="3"/>
  <c r="E152" i="3" a="1"/>
  <c r="E152" i="3"/>
  <c r="F152" i="3" a="1"/>
  <c r="F152" i="3"/>
  <c r="G152" i="3" a="1"/>
  <c r="G152" i="3"/>
  <c r="H152" i="3" a="1"/>
  <c r="H152" i="3"/>
  <c r="D153" i="3" a="1"/>
  <c r="D153" i="3"/>
  <c r="E153" i="3" a="1"/>
  <c r="E153" i="3"/>
  <c r="F153" i="3" a="1"/>
  <c r="F153" i="3"/>
  <c r="G153" i="3" a="1"/>
  <c r="G153" i="3"/>
  <c r="H153" i="3" a="1"/>
  <c r="H153" i="3"/>
  <c r="D154" i="3" a="1"/>
  <c r="D154" i="3"/>
  <c r="E154" i="3" a="1"/>
  <c r="E154" i="3"/>
  <c r="F154" i="3" a="1"/>
  <c r="F154" i="3"/>
  <c r="G154" i="3" a="1"/>
  <c r="G154" i="3"/>
  <c r="H154" i="3" a="1"/>
  <c r="H154" i="3"/>
  <c r="D155" i="3" a="1"/>
  <c r="D155" i="3"/>
  <c r="E155" i="3" a="1"/>
  <c r="E155" i="3"/>
  <c r="F155" i="3" a="1"/>
  <c r="F155" i="3"/>
  <c r="G155" i="3" a="1"/>
  <c r="G155" i="3"/>
  <c r="H155" i="3" a="1"/>
  <c r="H155" i="3"/>
  <c r="D156" i="3" a="1"/>
  <c r="D156" i="3"/>
  <c r="E156" i="3" a="1"/>
  <c r="E156" i="3"/>
  <c r="F156" i="3" a="1"/>
  <c r="F156" i="3"/>
  <c r="G156" i="3" a="1"/>
  <c r="G156" i="3"/>
  <c r="H156" i="3" a="1"/>
  <c r="H156" i="3"/>
  <c r="D157" i="3" a="1"/>
  <c r="D157" i="3"/>
  <c r="E157" i="3" a="1"/>
  <c r="E157" i="3"/>
  <c r="F157" i="3" a="1"/>
  <c r="F157" i="3"/>
  <c r="G157" i="3" a="1"/>
  <c r="G157" i="3"/>
  <c r="H157" i="3" a="1"/>
  <c r="H157" i="3"/>
  <c r="D158" i="3" a="1"/>
  <c r="D158" i="3"/>
  <c r="E158" i="3" a="1"/>
  <c r="E158" i="3"/>
  <c r="F158" i="3" a="1"/>
  <c r="F158" i="3"/>
  <c r="G158" i="3" a="1"/>
  <c r="G158" i="3"/>
  <c r="H158" i="3" a="1"/>
  <c r="H158" i="3"/>
  <c r="D159" i="3" a="1"/>
  <c r="D159" i="3"/>
  <c r="E159" i="3" a="1"/>
  <c r="E159" i="3"/>
  <c r="F159" i="3" a="1"/>
  <c r="F159" i="3"/>
  <c r="G159" i="3" a="1"/>
  <c r="G159" i="3"/>
  <c r="H159" i="3" a="1"/>
  <c r="H159" i="3"/>
  <c r="D160" i="3" a="1"/>
  <c r="D160" i="3"/>
  <c r="E160" i="3" a="1"/>
  <c r="E160" i="3"/>
  <c r="F160" i="3" a="1"/>
  <c r="F160" i="3"/>
  <c r="G160" i="3" a="1"/>
  <c r="G160" i="3"/>
  <c r="H160" i="3" a="1"/>
  <c r="H160" i="3"/>
  <c r="D161" i="3" a="1"/>
  <c r="D161" i="3"/>
  <c r="E161" i="3" a="1"/>
  <c r="E161" i="3"/>
  <c r="F161" i="3" a="1"/>
  <c r="F161" i="3"/>
  <c r="G161" i="3" a="1"/>
  <c r="G161" i="3"/>
  <c r="H161" i="3" a="1"/>
  <c r="H161" i="3"/>
  <c r="D162" i="3" a="1"/>
  <c r="D162" i="3"/>
  <c r="E162" i="3" a="1"/>
  <c r="E162" i="3"/>
  <c r="F162" i="3" a="1"/>
  <c r="F162" i="3"/>
  <c r="G162" i="3" a="1"/>
  <c r="G162" i="3"/>
  <c r="H162" i="3" a="1"/>
  <c r="H162" i="3"/>
  <c r="D163" i="3" a="1"/>
  <c r="D163" i="3"/>
  <c r="E163" i="3" a="1"/>
  <c r="E163" i="3"/>
  <c r="F163" i="3" a="1"/>
  <c r="F163" i="3"/>
  <c r="G163" i="3" a="1"/>
  <c r="G163" i="3"/>
  <c r="H163" i="3" a="1"/>
  <c r="H163" i="3"/>
  <c r="D164" i="3" a="1"/>
  <c r="D164" i="3"/>
  <c r="E164" i="3" a="1"/>
  <c r="E164" i="3"/>
  <c r="F164" i="3" a="1"/>
  <c r="F164" i="3"/>
  <c r="G164" i="3" a="1"/>
  <c r="G164" i="3"/>
  <c r="H164" i="3" a="1"/>
  <c r="H164" i="3"/>
  <c r="D165" i="3" a="1"/>
  <c r="D165" i="3"/>
  <c r="E165" i="3" a="1"/>
  <c r="E165" i="3"/>
  <c r="F165" i="3" a="1"/>
  <c r="F165" i="3"/>
  <c r="G165" i="3" a="1"/>
  <c r="G165" i="3"/>
  <c r="H165" i="3" a="1"/>
  <c r="H165" i="3"/>
  <c r="D166" i="3" a="1"/>
  <c r="D166" i="3"/>
  <c r="E166" i="3" a="1"/>
  <c r="E166" i="3"/>
  <c r="F166" i="3" a="1"/>
  <c r="F166" i="3"/>
  <c r="G166" i="3" a="1"/>
  <c r="G166" i="3"/>
  <c r="H166" i="3" a="1"/>
  <c r="H166" i="3"/>
  <c r="D167" i="3" a="1"/>
  <c r="D167" i="3"/>
  <c r="E167" i="3" a="1"/>
  <c r="E167" i="3"/>
  <c r="F167" i="3" a="1"/>
  <c r="F167" i="3"/>
  <c r="G167" i="3" a="1"/>
  <c r="G167" i="3"/>
  <c r="H167" i="3" a="1"/>
  <c r="H167" i="3"/>
  <c r="D168" i="3" a="1"/>
  <c r="D168" i="3"/>
  <c r="E168" i="3" a="1"/>
  <c r="E168" i="3"/>
  <c r="F168" i="3" a="1"/>
  <c r="F168" i="3"/>
  <c r="G168" i="3" a="1"/>
  <c r="G168" i="3"/>
  <c r="H168" i="3" a="1"/>
  <c r="H168" i="3"/>
  <c r="D169" i="3" a="1"/>
  <c r="D169" i="3"/>
  <c r="E169" i="3" a="1"/>
  <c r="E169" i="3"/>
  <c r="F169" i="3" a="1"/>
  <c r="F169" i="3"/>
  <c r="G169" i="3" a="1"/>
  <c r="G169" i="3"/>
  <c r="H169" i="3" a="1"/>
  <c r="H169" i="3"/>
  <c r="D170" i="3" a="1"/>
  <c r="D170" i="3"/>
  <c r="E170" i="3" a="1"/>
  <c r="E170" i="3"/>
  <c r="F170" i="3" a="1"/>
  <c r="F170" i="3"/>
  <c r="G170" i="3" a="1"/>
  <c r="G170" i="3"/>
  <c r="H170" i="3" a="1"/>
  <c r="H170" i="3"/>
  <c r="D171" i="3" a="1"/>
  <c r="D171" i="3"/>
  <c r="E171" i="3" a="1"/>
  <c r="E171" i="3"/>
  <c r="F171" i="3" a="1"/>
  <c r="F171" i="3"/>
  <c r="G171" i="3" a="1"/>
  <c r="G171" i="3"/>
  <c r="H171" i="3" a="1"/>
  <c r="H171" i="3"/>
  <c r="D172" i="3" a="1"/>
  <c r="D172" i="3"/>
  <c r="E172" i="3" a="1"/>
  <c r="E172" i="3"/>
  <c r="F172" i="3" a="1"/>
  <c r="F172" i="3"/>
  <c r="G172" i="3" a="1"/>
  <c r="G172" i="3"/>
  <c r="H172" i="3" a="1"/>
  <c r="H172" i="3"/>
  <c r="D173" i="3" a="1"/>
  <c r="D173" i="3"/>
  <c r="E173" i="3" a="1"/>
  <c r="E173" i="3"/>
  <c r="F173" i="3" a="1"/>
  <c r="F173" i="3"/>
  <c r="G173" i="3" a="1"/>
  <c r="G173" i="3"/>
  <c r="H173" i="3" a="1"/>
  <c r="H173" i="3"/>
  <c r="D174" i="3" a="1"/>
  <c r="D174" i="3"/>
  <c r="E174" i="3" a="1"/>
  <c r="E174" i="3"/>
  <c r="F174" i="3" a="1"/>
  <c r="F174" i="3"/>
  <c r="G174" i="3" a="1"/>
  <c r="G174" i="3"/>
  <c r="H174" i="3" a="1"/>
  <c r="H174" i="3"/>
  <c r="D175" i="3" a="1"/>
  <c r="D175" i="3"/>
  <c r="E175" i="3" a="1"/>
  <c r="E175" i="3"/>
  <c r="F175" i="3" a="1"/>
  <c r="F175" i="3"/>
  <c r="G175" i="3" a="1"/>
  <c r="G175" i="3"/>
  <c r="H175" i="3" a="1"/>
  <c r="H175" i="3"/>
  <c r="D176" i="3" a="1"/>
  <c r="D176" i="3"/>
  <c r="E176" i="3" a="1"/>
  <c r="E176" i="3"/>
  <c r="F176" i="3" a="1"/>
  <c r="F176" i="3"/>
  <c r="G176" i="3" a="1"/>
  <c r="G176" i="3"/>
  <c r="H176" i="3" a="1"/>
  <c r="H176" i="3"/>
  <c r="D177" i="3" a="1"/>
  <c r="D177" i="3"/>
  <c r="E177" i="3" a="1"/>
  <c r="E177" i="3"/>
  <c r="F177" i="3" a="1"/>
  <c r="F177" i="3"/>
  <c r="G177" i="3" a="1"/>
  <c r="G177" i="3"/>
  <c r="H177" i="3" a="1"/>
  <c r="H177" i="3"/>
  <c r="D178" i="3" a="1"/>
  <c r="D178" i="3"/>
  <c r="E178" i="3" a="1"/>
  <c r="E178" i="3"/>
  <c r="F178" i="3" a="1"/>
  <c r="F178" i="3"/>
  <c r="G178" i="3" a="1"/>
  <c r="G178" i="3"/>
  <c r="H178" i="3" a="1"/>
  <c r="H178" i="3"/>
  <c r="D179" i="3" a="1"/>
  <c r="D179" i="3"/>
  <c r="E179" i="3" a="1"/>
  <c r="E179" i="3"/>
  <c r="F179" i="3" a="1"/>
  <c r="F179" i="3"/>
  <c r="G179" i="3" a="1"/>
  <c r="G179" i="3"/>
  <c r="H179" i="3" a="1"/>
  <c r="H179" i="3"/>
  <c r="D180" i="3" a="1"/>
  <c r="D180" i="3"/>
  <c r="E180" i="3" a="1"/>
  <c r="E180" i="3"/>
  <c r="F180" i="3" a="1"/>
  <c r="F180" i="3"/>
  <c r="G180" i="3" a="1"/>
  <c r="G180" i="3"/>
  <c r="H180" i="3" a="1"/>
  <c r="H180" i="3"/>
  <c r="D181" i="3" a="1"/>
  <c r="D181" i="3"/>
  <c r="E181" i="3" a="1"/>
  <c r="E181" i="3"/>
  <c r="F181" i="3" a="1"/>
  <c r="F181" i="3"/>
  <c r="G181" i="3" a="1"/>
  <c r="G181" i="3"/>
  <c r="H181" i="3" a="1"/>
  <c r="H181" i="3"/>
  <c r="D182" i="3" a="1"/>
  <c r="D182" i="3"/>
  <c r="E182" i="3" a="1"/>
  <c r="E182" i="3"/>
  <c r="F182" i="3" a="1"/>
  <c r="F182" i="3"/>
  <c r="G182" i="3" a="1"/>
  <c r="G182" i="3"/>
  <c r="H182" i="3" a="1"/>
  <c r="H182" i="3"/>
  <c r="D183" i="3" a="1"/>
  <c r="D183" i="3"/>
  <c r="E183" i="3" a="1"/>
  <c r="E183" i="3"/>
  <c r="F183" i="3" a="1"/>
  <c r="F183" i="3"/>
  <c r="G183" i="3" a="1"/>
  <c r="G183" i="3"/>
  <c r="H183" i="3" a="1"/>
  <c r="H183" i="3"/>
  <c r="D184" i="3" a="1"/>
  <c r="D184" i="3"/>
  <c r="E184" i="3" a="1"/>
  <c r="E184" i="3"/>
  <c r="F184" i="3" a="1"/>
  <c r="F184" i="3"/>
  <c r="G184" i="3" a="1"/>
  <c r="G184" i="3"/>
  <c r="H184" i="3" a="1"/>
  <c r="H184" i="3"/>
  <c r="D185" i="3" a="1"/>
  <c r="D185" i="3"/>
  <c r="E185" i="3" a="1"/>
  <c r="E185" i="3"/>
  <c r="F185" i="3" a="1"/>
  <c r="F185" i="3"/>
  <c r="G185" i="3" a="1"/>
  <c r="G185" i="3"/>
  <c r="H185" i="3" a="1"/>
  <c r="H185" i="3"/>
  <c r="D186" i="3" a="1"/>
  <c r="D186" i="3"/>
  <c r="E186" i="3" a="1"/>
  <c r="E186" i="3"/>
  <c r="F186" i="3" a="1"/>
  <c r="F186" i="3"/>
  <c r="G186" i="3" a="1"/>
  <c r="G186" i="3"/>
  <c r="H186" i="3" a="1"/>
  <c r="H186" i="3"/>
  <c r="D187" i="3" a="1"/>
  <c r="D187" i="3"/>
  <c r="E187" i="3" a="1"/>
  <c r="E187" i="3"/>
  <c r="F187" i="3" a="1"/>
  <c r="F187" i="3"/>
  <c r="G187" i="3" a="1"/>
  <c r="G187" i="3"/>
  <c r="H187" i="3" a="1"/>
  <c r="H187" i="3"/>
  <c r="D188" i="3" a="1"/>
  <c r="D188" i="3"/>
  <c r="E188" i="3" a="1"/>
  <c r="E188" i="3"/>
  <c r="F188" i="3" a="1"/>
  <c r="F188" i="3"/>
  <c r="G188" i="3" a="1"/>
  <c r="G188" i="3"/>
  <c r="H188" i="3" a="1"/>
  <c r="H188" i="3"/>
  <c r="D189" i="3" a="1"/>
  <c r="D189" i="3"/>
  <c r="E189" i="3" a="1"/>
  <c r="E189" i="3"/>
  <c r="F189" i="3" a="1"/>
  <c r="F189" i="3"/>
  <c r="G189" i="3" a="1"/>
  <c r="G189" i="3"/>
  <c r="H189" i="3" a="1"/>
  <c r="H189" i="3"/>
  <c r="D190" i="3" a="1"/>
  <c r="D190" i="3"/>
  <c r="E190" i="3" a="1"/>
  <c r="E190" i="3"/>
  <c r="F190" i="3" a="1"/>
  <c r="F190" i="3"/>
  <c r="G190" i="3" a="1"/>
  <c r="G190" i="3"/>
  <c r="H190" i="3" a="1"/>
  <c r="H190" i="3"/>
  <c r="D191" i="3" a="1"/>
  <c r="D191" i="3"/>
  <c r="E191" i="3" a="1"/>
  <c r="E191" i="3"/>
  <c r="F191" i="3" a="1"/>
  <c r="F191" i="3"/>
  <c r="G191" i="3" a="1"/>
  <c r="G191" i="3"/>
  <c r="H191" i="3" a="1"/>
  <c r="H191" i="3"/>
  <c r="D192" i="3" a="1"/>
  <c r="D192" i="3"/>
  <c r="E192" i="3" a="1"/>
  <c r="E192" i="3"/>
  <c r="F192" i="3" a="1"/>
  <c r="F192" i="3"/>
  <c r="G192" i="3" a="1"/>
  <c r="G192" i="3"/>
  <c r="H192" i="3" a="1"/>
  <c r="H192" i="3"/>
  <c r="D193" i="3" a="1"/>
  <c r="D193" i="3"/>
  <c r="E193" i="3" a="1"/>
  <c r="E193" i="3"/>
  <c r="F193" i="3" a="1"/>
  <c r="F193" i="3"/>
  <c r="G193" i="3" a="1"/>
  <c r="G193" i="3"/>
  <c r="H193" i="3" a="1"/>
  <c r="H193" i="3"/>
  <c r="D194" i="3" a="1"/>
  <c r="D194" i="3"/>
  <c r="E194" i="3" a="1"/>
  <c r="E194" i="3"/>
  <c r="F194" i="3" a="1"/>
  <c r="F194" i="3"/>
  <c r="G194" i="3" a="1"/>
  <c r="G194" i="3"/>
  <c r="H194" i="3" a="1"/>
  <c r="H194" i="3"/>
  <c r="D195" i="3" a="1"/>
  <c r="D195" i="3"/>
  <c r="E195" i="3" a="1"/>
  <c r="E195" i="3"/>
  <c r="F195" i="3" a="1"/>
  <c r="F195" i="3"/>
  <c r="G195" i="3" a="1"/>
  <c r="G195" i="3"/>
  <c r="H195" i="3" a="1"/>
  <c r="H195" i="3"/>
  <c r="D196" i="3" a="1"/>
  <c r="D196" i="3"/>
  <c r="E196" i="3" a="1"/>
  <c r="E196" i="3"/>
  <c r="F196" i="3" a="1"/>
  <c r="F196" i="3"/>
  <c r="G196" i="3" a="1"/>
  <c r="G196" i="3"/>
  <c r="H196" i="3" a="1"/>
  <c r="H196" i="3"/>
  <c r="D197" i="3" a="1"/>
  <c r="D197" i="3"/>
  <c r="E197" i="3" a="1"/>
  <c r="E197" i="3"/>
  <c r="F197" i="3" a="1"/>
  <c r="F197" i="3"/>
  <c r="G197" i="3" a="1"/>
  <c r="G197" i="3"/>
  <c r="H197" i="3" a="1"/>
  <c r="H197" i="3"/>
  <c r="D198" i="3" a="1"/>
  <c r="D198" i="3"/>
  <c r="E198" i="3" a="1"/>
  <c r="E198" i="3"/>
  <c r="F198" i="3" a="1"/>
  <c r="F198" i="3"/>
  <c r="G198" i="3" a="1"/>
  <c r="G198" i="3"/>
  <c r="H198" i="3" a="1"/>
  <c r="H198" i="3"/>
  <c r="D199" i="3" a="1"/>
  <c r="D199" i="3"/>
  <c r="E199" i="3" a="1"/>
  <c r="E199" i="3"/>
  <c r="F199" i="3" a="1"/>
  <c r="F199" i="3"/>
  <c r="G199" i="3" a="1"/>
  <c r="G199" i="3"/>
  <c r="H199" i="3" a="1"/>
  <c r="H199" i="3"/>
  <c r="D200" i="3" a="1"/>
  <c r="D200" i="3"/>
  <c r="E200" i="3" a="1"/>
  <c r="E200" i="3"/>
  <c r="F200" i="3" a="1"/>
  <c r="F200" i="3"/>
  <c r="G200" i="3" a="1"/>
  <c r="G200" i="3"/>
  <c r="H200" i="3" a="1"/>
  <c r="H200" i="3"/>
  <c r="D201" i="3" a="1"/>
  <c r="D201" i="3"/>
  <c r="E201" i="3" a="1"/>
  <c r="E201" i="3"/>
  <c r="F201" i="3" a="1"/>
  <c r="F201" i="3"/>
  <c r="G201" i="3" a="1"/>
  <c r="G201" i="3"/>
  <c r="H201" i="3" a="1"/>
  <c r="H201" i="3"/>
  <c r="D202" i="3" a="1"/>
  <c r="D202" i="3"/>
  <c r="E202" i="3" a="1"/>
  <c r="E202" i="3"/>
  <c r="F202" i="3" a="1"/>
  <c r="F202" i="3"/>
  <c r="G202" i="3" a="1"/>
  <c r="G202" i="3"/>
  <c r="H202" i="3" a="1"/>
  <c r="H202" i="3"/>
  <c r="D203" i="3" a="1"/>
  <c r="D203" i="3"/>
  <c r="E203" i="3" a="1"/>
  <c r="E203" i="3"/>
  <c r="F203" i="3" a="1"/>
  <c r="F203" i="3"/>
  <c r="G203" i="3" a="1"/>
  <c r="G203" i="3"/>
  <c r="H203" i="3" a="1"/>
  <c r="H203" i="3"/>
  <c r="D204" i="3" a="1"/>
  <c r="D204" i="3"/>
  <c r="E204" i="3" a="1"/>
  <c r="E204" i="3"/>
  <c r="F204" i="3" a="1"/>
  <c r="F204" i="3"/>
  <c r="G204" i="3" a="1"/>
  <c r="G204" i="3"/>
  <c r="H204" i="3" a="1"/>
  <c r="H204" i="3"/>
  <c r="D205" i="3" a="1"/>
  <c r="D205" i="3"/>
  <c r="E205" i="3" a="1"/>
  <c r="E205" i="3"/>
  <c r="F205" i="3" a="1"/>
  <c r="F205" i="3"/>
  <c r="G205" i="3" a="1"/>
  <c r="G205" i="3"/>
  <c r="H205" i="3" a="1"/>
  <c r="H205" i="3"/>
  <c r="D206" i="3" a="1"/>
  <c r="D206" i="3"/>
  <c r="E206" i="3" a="1"/>
  <c r="E206" i="3"/>
  <c r="F206" i="3" a="1"/>
  <c r="F206" i="3"/>
  <c r="G206" i="3" a="1"/>
  <c r="G206" i="3"/>
  <c r="H206" i="3" a="1"/>
  <c r="H206" i="3"/>
  <c r="D207" i="3" a="1"/>
  <c r="D207" i="3"/>
  <c r="E207" i="3" a="1"/>
  <c r="E207" i="3"/>
  <c r="F207" i="3" a="1"/>
  <c r="F207" i="3"/>
  <c r="G207" i="3" a="1"/>
  <c r="G207" i="3"/>
  <c r="H207" i="3" a="1"/>
  <c r="H207" i="3"/>
  <c r="D208" i="3" a="1"/>
  <c r="D208" i="3"/>
  <c r="E208" i="3" a="1"/>
  <c r="E208" i="3"/>
  <c r="F208" i="3" a="1"/>
  <c r="F208" i="3"/>
  <c r="G208" i="3" a="1"/>
  <c r="G208" i="3"/>
  <c r="H208" i="3" a="1"/>
  <c r="H208" i="3"/>
  <c r="D209" i="3" a="1"/>
  <c r="D209" i="3"/>
  <c r="E209" i="3" a="1"/>
  <c r="E209" i="3"/>
  <c r="F209" i="3" a="1"/>
  <c r="F209" i="3"/>
  <c r="G209" i="3" a="1"/>
  <c r="G209" i="3"/>
  <c r="H209" i="3" a="1"/>
  <c r="H209" i="3"/>
  <c r="D210" i="3" a="1"/>
  <c r="D210" i="3"/>
  <c r="E210" i="3" a="1"/>
  <c r="E210" i="3"/>
  <c r="F210" i="3" a="1"/>
  <c r="F210" i="3"/>
  <c r="G210" i="3" a="1"/>
  <c r="G210" i="3"/>
  <c r="H210" i="3" a="1"/>
  <c r="H210" i="3"/>
  <c r="D211" i="3" a="1"/>
  <c r="D211" i="3"/>
  <c r="E211" i="3" a="1"/>
  <c r="E211" i="3"/>
  <c r="F211" i="3" a="1"/>
  <c r="F211" i="3"/>
  <c r="G211" i="3" a="1"/>
  <c r="G211" i="3"/>
  <c r="H211" i="3" a="1"/>
  <c r="H211" i="3"/>
  <c r="D212" i="3" a="1"/>
  <c r="D212" i="3"/>
  <c r="E212" i="3" a="1"/>
  <c r="E212" i="3"/>
  <c r="F212" i="3" a="1"/>
  <c r="F212" i="3"/>
  <c r="G212" i="3" a="1"/>
  <c r="G212" i="3"/>
  <c r="H212" i="3" a="1"/>
  <c r="H212" i="3"/>
  <c r="D213" i="3" a="1"/>
  <c r="D213" i="3"/>
  <c r="E213" i="3" a="1"/>
  <c r="E213" i="3"/>
  <c r="F213" i="3" a="1"/>
  <c r="F213" i="3"/>
  <c r="G213" i="3" a="1"/>
  <c r="G213" i="3"/>
  <c r="H213" i="3" a="1"/>
  <c r="H213" i="3"/>
  <c r="D214" i="3" a="1"/>
  <c r="D214" i="3"/>
  <c r="E214" i="3" a="1"/>
  <c r="E214" i="3"/>
  <c r="F214" i="3" a="1"/>
  <c r="F214" i="3"/>
  <c r="G214" i="3" a="1"/>
  <c r="G214" i="3"/>
  <c r="H214" i="3" a="1"/>
  <c r="H214" i="3"/>
  <c r="D215" i="3" a="1"/>
  <c r="D215" i="3"/>
  <c r="E215" i="3" a="1"/>
  <c r="E215" i="3"/>
  <c r="F215" i="3" a="1"/>
  <c r="F215" i="3"/>
  <c r="G215" i="3" a="1"/>
  <c r="G215" i="3"/>
  <c r="H215" i="3" a="1"/>
  <c r="H215" i="3"/>
  <c r="D216" i="3" a="1"/>
  <c r="D216" i="3"/>
  <c r="E216" i="3" a="1"/>
  <c r="E216" i="3"/>
  <c r="F216" i="3" a="1"/>
  <c r="F216" i="3"/>
  <c r="G216" i="3" a="1"/>
  <c r="G216" i="3"/>
  <c r="H216" i="3" a="1"/>
  <c r="H216" i="3"/>
  <c r="D217" i="3" a="1"/>
  <c r="D217" i="3"/>
  <c r="E217" i="3" a="1"/>
  <c r="E217" i="3"/>
  <c r="F217" i="3" a="1"/>
  <c r="F217" i="3"/>
  <c r="G217" i="3" a="1"/>
  <c r="G217" i="3"/>
  <c r="H217" i="3" a="1"/>
  <c r="H217" i="3"/>
  <c r="D218" i="3" a="1"/>
  <c r="D218" i="3"/>
  <c r="E218" i="3" a="1"/>
  <c r="E218" i="3"/>
  <c r="F218" i="3" a="1"/>
  <c r="F218" i="3"/>
  <c r="G218" i="3" a="1"/>
  <c r="G218" i="3"/>
  <c r="H218" i="3" a="1"/>
  <c r="H218" i="3"/>
  <c r="D219" i="3" a="1"/>
  <c r="D219" i="3"/>
  <c r="E219" i="3" a="1"/>
  <c r="E219" i="3"/>
  <c r="F219" i="3" a="1"/>
  <c r="F219" i="3"/>
  <c r="G219" i="3" a="1"/>
  <c r="G219" i="3"/>
  <c r="H219" i="3" a="1"/>
  <c r="H219" i="3"/>
  <c r="D220" i="3" a="1"/>
  <c r="D220" i="3"/>
  <c r="E220" i="3" a="1"/>
  <c r="E220" i="3"/>
  <c r="F220" i="3" a="1"/>
  <c r="F220" i="3"/>
  <c r="G220" i="3" a="1"/>
  <c r="G220" i="3"/>
  <c r="H220" i="3" a="1"/>
  <c r="H220" i="3"/>
  <c r="D221" i="3" a="1"/>
  <c r="D221" i="3"/>
  <c r="E221" i="3" a="1"/>
  <c r="E221" i="3"/>
  <c r="F221" i="3" a="1"/>
  <c r="F221" i="3"/>
  <c r="G221" i="3" a="1"/>
  <c r="G221" i="3"/>
  <c r="H221" i="3" a="1"/>
  <c r="H221" i="3"/>
  <c r="D222" i="3" a="1"/>
  <c r="D222" i="3"/>
  <c r="E222" i="3" a="1"/>
  <c r="E222" i="3"/>
  <c r="F222" i="3" a="1"/>
  <c r="F222" i="3"/>
  <c r="G222" i="3" a="1"/>
  <c r="G222" i="3"/>
  <c r="H222" i="3" a="1"/>
  <c r="H222" i="3"/>
  <c r="D223" i="3" a="1"/>
  <c r="D223" i="3"/>
  <c r="E223" i="3" a="1"/>
  <c r="E223" i="3"/>
  <c r="F223" i="3" a="1"/>
  <c r="F223" i="3"/>
  <c r="G223" i="3" a="1"/>
  <c r="G223" i="3"/>
  <c r="H223" i="3" a="1"/>
  <c r="H223" i="3"/>
  <c r="D224" i="3" a="1"/>
  <c r="D224" i="3"/>
  <c r="E224" i="3" a="1"/>
  <c r="E224" i="3"/>
  <c r="F224" i="3" a="1"/>
  <c r="F224" i="3"/>
  <c r="G224" i="3" a="1"/>
  <c r="G224" i="3"/>
  <c r="H224" i="3" a="1"/>
  <c r="H224" i="3"/>
  <c r="D225" i="3" a="1"/>
  <c r="D225" i="3"/>
  <c r="E225" i="3" a="1"/>
  <c r="E225" i="3"/>
  <c r="F225" i="3" a="1"/>
  <c r="F225" i="3"/>
  <c r="G225" i="3" a="1"/>
  <c r="G225" i="3"/>
  <c r="H225" i="3" a="1"/>
  <c r="H225" i="3"/>
  <c r="D226" i="3" a="1"/>
  <c r="D226" i="3"/>
  <c r="E226" i="3" a="1"/>
  <c r="E226" i="3"/>
  <c r="F226" i="3" a="1"/>
  <c r="F226" i="3"/>
  <c r="G226" i="3" a="1"/>
  <c r="G226" i="3"/>
  <c r="H226" i="3" a="1"/>
  <c r="H226" i="3"/>
  <c r="D227" i="3" a="1"/>
  <c r="D227" i="3"/>
  <c r="E227" i="3" a="1"/>
  <c r="E227" i="3"/>
  <c r="F227" i="3" a="1"/>
  <c r="F227" i="3"/>
  <c r="G227" i="3" a="1"/>
  <c r="G227" i="3"/>
  <c r="H227" i="3" a="1"/>
  <c r="H227" i="3"/>
  <c r="D228" i="3" a="1"/>
  <c r="D228" i="3"/>
  <c r="E228" i="3" a="1"/>
  <c r="E228" i="3"/>
  <c r="F228" i="3" a="1"/>
  <c r="F228" i="3"/>
  <c r="G228" i="3" a="1"/>
  <c r="G228" i="3"/>
  <c r="H228" i="3" a="1"/>
  <c r="H228" i="3"/>
  <c r="D229" i="3" a="1"/>
  <c r="D229" i="3"/>
  <c r="E229" i="3" a="1"/>
  <c r="E229" i="3"/>
  <c r="F229" i="3" a="1"/>
  <c r="F229" i="3"/>
  <c r="G229" i="3" a="1"/>
  <c r="G229" i="3"/>
  <c r="H229" i="3" a="1"/>
  <c r="H229" i="3"/>
  <c r="D230" i="3" a="1"/>
  <c r="D230" i="3"/>
  <c r="E230" i="3" a="1"/>
  <c r="E230" i="3"/>
  <c r="F230" i="3" a="1"/>
  <c r="F230" i="3"/>
  <c r="G230" i="3" a="1"/>
  <c r="G230" i="3"/>
  <c r="H230" i="3" a="1"/>
  <c r="H230" i="3"/>
  <c r="D231" i="3" a="1"/>
  <c r="D231" i="3"/>
  <c r="E231" i="3" a="1"/>
  <c r="E231" i="3"/>
  <c r="F231" i="3" a="1"/>
  <c r="F231" i="3"/>
  <c r="G231" i="3" a="1"/>
  <c r="G231" i="3"/>
  <c r="H231" i="3" a="1"/>
  <c r="H231" i="3"/>
  <c r="D232" i="3" a="1"/>
  <c r="D232" i="3"/>
  <c r="E232" i="3" a="1"/>
  <c r="E232" i="3"/>
  <c r="F232" i="3" a="1"/>
  <c r="F232" i="3"/>
  <c r="G232" i="3" a="1"/>
  <c r="G232" i="3"/>
  <c r="H232" i="3" a="1"/>
  <c r="H232" i="3"/>
  <c r="D233" i="3" a="1"/>
  <c r="D233" i="3"/>
  <c r="E233" i="3" a="1"/>
  <c r="E233" i="3"/>
  <c r="F233" i="3" a="1"/>
  <c r="F233" i="3"/>
  <c r="G233" i="3" a="1"/>
  <c r="G233" i="3"/>
  <c r="H233" i="3" a="1"/>
  <c r="H233" i="3"/>
  <c r="D234" i="3" a="1"/>
  <c r="D234" i="3"/>
  <c r="E234" i="3" a="1"/>
  <c r="E234" i="3"/>
  <c r="F234" i="3" a="1"/>
  <c r="F234" i="3"/>
  <c r="G234" i="3" a="1"/>
  <c r="G234" i="3"/>
  <c r="H234" i="3" a="1"/>
  <c r="H234" i="3"/>
  <c r="D235" i="3" a="1"/>
  <c r="D235" i="3"/>
  <c r="E235" i="3" a="1"/>
  <c r="E235" i="3"/>
  <c r="F235" i="3" a="1"/>
  <c r="F235" i="3"/>
  <c r="G235" i="3" a="1"/>
  <c r="G235" i="3"/>
  <c r="H235" i="3" a="1"/>
  <c r="H235" i="3"/>
  <c r="D236" i="3" a="1"/>
  <c r="D236" i="3"/>
  <c r="E236" i="3" a="1"/>
  <c r="E236" i="3"/>
  <c r="F236" i="3" a="1"/>
  <c r="F236" i="3"/>
  <c r="G236" i="3" a="1"/>
  <c r="G236" i="3"/>
  <c r="H236" i="3" a="1"/>
  <c r="H236" i="3"/>
  <c r="D237" i="3" a="1"/>
  <c r="D237" i="3"/>
  <c r="E237" i="3" a="1"/>
  <c r="E237" i="3"/>
  <c r="F237" i="3" a="1"/>
  <c r="F237" i="3"/>
  <c r="G237" i="3" a="1"/>
  <c r="G237" i="3"/>
  <c r="H237" i="3" a="1"/>
  <c r="H237" i="3"/>
  <c r="D238" i="3" a="1"/>
  <c r="D238" i="3"/>
  <c r="E238" i="3" a="1"/>
  <c r="E238" i="3"/>
  <c r="F238" i="3" a="1"/>
  <c r="F238" i="3"/>
  <c r="G238" i="3" a="1"/>
  <c r="G238" i="3"/>
  <c r="H238" i="3" a="1"/>
  <c r="H238" i="3"/>
  <c r="D239" i="3" a="1"/>
  <c r="D239" i="3"/>
  <c r="E239" i="3" a="1"/>
  <c r="E239" i="3"/>
  <c r="F239" i="3" a="1"/>
  <c r="F239" i="3"/>
  <c r="G239" i="3" a="1"/>
  <c r="G239" i="3"/>
  <c r="H239" i="3" a="1"/>
  <c r="H239" i="3"/>
  <c r="D240" i="3" a="1"/>
  <c r="D240" i="3"/>
  <c r="E240" i="3" a="1"/>
  <c r="E240" i="3"/>
  <c r="F240" i="3" a="1"/>
  <c r="F240" i="3"/>
  <c r="G240" i="3" a="1"/>
  <c r="G240" i="3"/>
  <c r="H240" i="3" a="1"/>
  <c r="H240" i="3"/>
  <c r="D241" i="3" a="1"/>
  <c r="D241" i="3"/>
  <c r="E241" i="3" a="1"/>
  <c r="E241" i="3"/>
  <c r="F241" i="3" a="1"/>
  <c r="F241" i="3"/>
  <c r="G241" i="3" a="1"/>
  <c r="G241" i="3"/>
  <c r="H241" i="3" a="1"/>
  <c r="H241" i="3"/>
  <c r="D242" i="3" a="1"/>
  <c r="D242" i="3"/>
  <c r="E242" i="3" a="1"/>
  <c r="E242" i="3"/>
  <c r="F242" i="3" a="1"/>
  <c r="F242" i="3"/>
  <c r="G242" i="3" a="1"/>
  <c r="G242" i="3"/>
  <c r="H242" i="3" a="1"/>
  <c r="H242" i="3"/>
  <c r="D243" i="3" a="1"/>
  <c r="D243" i="3"/>
  <c r="E243" i="3" a="1"/>
  <c r="E243" i="3"/>
  <c r="F243" i="3" a="1"/>
  <c r="F243" i="3"/>
  <c r="G243" i="3" a="1"/>
  <c r="G243" i="3"/>
  <c r="H243" i="3" a="1"/>
  <c r="H243" i="3"/>
  <c r="D244" i="3" a="1"/>
  <c r="D244" i="3"/>
  <c r="E244" i="3" a="1"/>
  <c r="E244" i="3"/>
  <c r="F244" i="3" a="1"/>
  <c r="F244" i="3"/>
  <c r="G244" i="3" a="1"/>
  <c r="G244" i="3"/>
  <c r="H244" i="3" a="1"/>
  <c r="H244" i="3"/>
  <c r="D245" i="3" a="1"/>
  <c r="D245" i="3"/>
  <c r="E245" i="3" a="1"/>
  <c r="E245" i="3"/>
  <c r="F245" i="3" a="1"/>
  <c r="F245" i="3"/>
  <c r="G245" i="3" a="1"/>
  <c r="G245" i="3"/>
  <c r="H245" i="3" a="1"/>
  <c r="H245" i="3"/>
  <c r="D246" i="3" a="1"/>
  <c r="D246" i="3"/>
  <c r="E246" i="3" a="1"/>
  <c r="E246" i="3"/>
  <c r="F246" i="3" a="1"/>
  <c r="F246" i="3"/>
  <c r="G246" i="3" a="1"/>
  <c r="G246" i="3"/>
  <c r="H246" i="3" a="1"/>
  <c r="H246" i="3"/>
  <c r="D247" i="3" a="1"/>
  <c r="D247" i="3"/>
  <c r="E247" i="3" a="1"/>
  <c r="E247" i="3"/>
  <c r="F247" i="3" a="1"/>
  <c r="F247" i="3"/>
  <c r="G247" i="3" a="1"/>
  <c r="G247" i="3"/>
  <c r="H247" i="3" a="1"/>
  <c r="H247" i="3"/>
  <c r="D248" i="3" a="1"/>
  <c r="D248" i="3"/>
  <c r="E248" i="3" a="1"/>
  <c r="E248" i="3"/>
  <c r="F248" i="3" a="1"/>
  <c r="F248" i="3"/>
  <c r="G248" i="3" a="1"/>
  <c r="G248" i="3"/>
  <c r="H248" i="3" a="1"/>
  <c r="H248" i="3"/>
  <c r="D249" i="3" a="1"/>
  <c r="D249" i="3"/>
  <c r="E249" i="3" a="1"/>
  <c r="E249" i="3"/>
  <c r="F249" i="3" a="1"/>
  <c r="F249" i="3"/>
  <c r="G249" i="3" a="1"/>
  <c r="G249" i="3"/>
  <c r="H249" i="3" a="1"/>
  <c r="H249" i="3"/>
  <c r="D250" i="3" a="1"/>
  <c r="D250" i="3"/>
  <c r="E250" i="3" a="1"/>
  <c r="E250" i="3"/>
  <c r="F250" i="3" a="1"/>
  <c r="F250" i="3"/>
  <c r="G250" i="3" a="1"/>
  <c r="G250" i="3"/>
  <c r="H250" i="3" a="1"/>
  <c r="H250" i="3"/>
  <c r="D251" i="3" a="1"/>
  <c r="D251" i="3"/>
  <c r="E251" i="3" a="1"/>
  <c r="E251" i="3"/>
  <c r="F251" i="3" a="1"/>
  <c r="F251" i="3"/>
  <c r="G251" i="3" a="1"/>
  <c r="G251" i="3"/>
  <c r="H251" i="3" a="1"/>
  <c r="H251" i="3"/>
  <c r="D252" i="3" a="1"/>
  <c r="D252" i="3"/>
  <c r="E252" i="3" a="1"/>
  <c r="E252" i="3"/>
  <c r="F252" i="3" a="1"/>
  <c r="F252" i="3"/>
  <c r="G252" i="3" a="1"/>
  <c r="G252" i="3"/>
  <c r="H252" i="3" a="1"/>
  <c r="H252" i="3"/>
  <c r="D253" i="3" a="1"/>
  <c r="D253" i="3"/>
  <c r="E253" i="3" a="1"/>
  <c r="E253" i="3"/>
  <c r="F253" i="3" a="1"/>
  <c r="F253" i="3"/>
  <c r="G253" i="3" a="1"/>
  <c r="G253" i="3"/>
  <c r="H253" i="3" a="1"/>
  <c r="H253" i="3"/>
  <c r="D254" i="3" a="1"/>
  <c r="D254" i="3"/>
  <c r="E254" i="3" a="1"/>
  <c r="E254" i="3"/>
  <c r="F254" i="3" a="1"/>
  <c r="F254" i="3"/>
  <c r="G254" i="3" a="1"/>
  <c r="G254" i="3"/>
  <c r="H254" i="3" a="1"/>
  <c r="H254" i="3"/>
  <c r="D255" i="3" a="1"/>
  <c r="D255" i="3"/>
  <c r="E255" i="3" a="1"/>
  <c r="E255" i="3"/>
  <c r="F255" i="3" a="1"/>
  <c r="F255" i="3"/>
  <c r="G255" i="3" a="1"/>
  <c r="G255" i="3"/>
  <c r="H255" i="3" a="1"/>
  <c r="H255" i="3"/>
  <c r="D256" i="3" a="1"/>
  <c r="D256" i="3"/>
  <c r="E256" i="3" a="1"/>
  <c r="E256" i="3"/>
  <c r="F256" i="3" a="1"/>
  <c r="F256" i="3"/>
  <c r="G256" i="3" a="1"/>
  <c r="G256" i="3"/>
  <c r="H256" i="3" a="1"/>
  <c r="H256" i="3"/>
  <c r="D257" i="3" a="1"/>
  <c r="D257" i="3"/>
  <c r="E257" i="3" a="1"/>
  <c r="E257" i="3"/>
  <c r="F257" i="3" a="1"/>
  <c r="F257" i="3"/>
  <c r="G257" i="3" a="1"/>
  <c r="G257" i="3"/>
  <c r="H257" i="3" a="1"/>
  <c r="H257" i="3"/>
  <c r="D258" i="3" a="1"/>
  <c r="D258" i="3"/>
  <c r="E258" i="3" a="1"/>
  <c r="E258" i="3"/>
  <c r="F258" i="3" a="1"/>
  <c r="F258" i="3"/>
  <c r="G258" i="3" a="1"/>
  <c r="G258" i="3"/>
  <c r="H258" i="3" a="1"/>
  <c r="H258" i="3"/>
  <c r="D259" i="3" a="1"/>
  <c r="D259" i="3"/>
  <c r="E259" i="3" a="1"/>
  <c r="E259" i="3"/>
  <c r="F259" i="3" a="1"/>
  <c r="F259" i="3"/>
  <c r="G259" i="3" a="1"/>
  <c r="G259" i="3"/>
  <c r="H259" i="3" a="1"/>
  <c r="H259" i="3"/>
  <c r="D260" i="3" a="1"/>
  <c r="D260" i="3"/>
  <c r="E260" i="3" a="1"/>
  <c r="E260" i="3"/>
  <c r="F260" i="3" a="1"/>
  <c r="F260" i="3"/>
  <c r="G260" i="3" a="1"/>
  <c r="G260" i="3"/>
  <c r="H260" i="3" a="1"/>
  <c r="H260" i="3"/>
  <c r="D261" i="3" a="1"/>
  <c r="D261" i="3"/>
  <c r="E261" i="3" a="1"/>
  <c r="E261" i="3"/>
  <c r="F261" i="3" a="1"/>
  <c r="F261" i="3"/>
  <c r="G261" i="3" a="1"/>
  <c r="G261" i="3"/>
  <c r="H261" i="3" a="1"/>
  <c r="H261" i="3"/>
  <c r="D262" i="3" a="1"/>
  <c r="D262" i="3"/>
  <c r="E262" i="3" a="1"/>
  <c r="E262" i="3"/>
  <c r="F262" i="3" a="1"/>
  <c r="F262" i="3"/>
  <c r="G262" i="3" a="1"/>
  <c r="G262" i="3"/>
  <c r="H262" i="3" a="1"/>
  <c r="H262" i="3"/>
  <c r="D263" i="3" a="1"/>
  <c r="D263" i="3"/>
  <c r="E263" i="3" a="1"/>
  <c r="E263" i="3"/>
  <c r="F263" i="3" a="1"/>
  <c r="F263" i="3"/>
  <c r="G263" i="3" a="1"/>
  <c r="G263" i="3"/>
  <c r="H263" i="3" a="1"/>
  <c r="H263" i="3"/>
  <c r="D264" i="3" a="1"/>
  <c r="D264" i="3"/>
  <c r="E264" i="3" a="1"/>
  <c r="E264" i="3"/>
  <c r="F264" i="3" a="1"/>
  <c r="F264" i="3"/>
  <c r="G264" i="3" a="1"/>
  <c r="G264" i="3"/>
  <c r="H264" i="3" a="1"/>
  <c r="H264" i="3"/>
  <c r="D265" i="3" a="1"/>
  <c r="D265" i="3"/>
  <c r="E265" i="3" a="1"/>
  <c r="E265" i="3"/>
  <c r="F265" i="3" a="1"/>
  <c r="F265" i="3"/>
  <c r="G265" i="3" a="1"/>
  <c r="G265" i="3"/>
  <c r="H265" i="3" a="1"/>
  <c r="H265" i="3"/>
  <c r="D266" i="3" a="1"/>
  <c r="D266" i="3"/>
  <c r="E266" i="3" a="1"/>
  <c r="E266" i="3"/>
  <c r="F266" i="3" a="1"/>
  <c r="F266" i="3"/>
  <c r="G266" i="3" a="1"/>
  <c r="G266" i="3"/>
  <c r="H266" i="3" a="1"/>
  <c r="H266" i="3"/>
  <c r="D267" i="3" a="1"/>
  <c r="D267" i="3"/>
  <c r="E267" i="3" a="1"/>
  <c r="E267" i="3"/>
  <c r="F267" i="3" a="1"/>
  <c r="F267" i="3"/>
  <c r="G267" i="3" a="1"/>
  <c r="G267" i="3"/>
  <c r="H267" i="3" a="1"/>
  <c r="H267" i="3"/>
  <c r="D268" i="3" a="1"/>
  <c r="D268" i="3"/>
  <c r="E268" i="3" a="1"/>
  <c r="E268" i="3"/>
  <c r="F268" i="3" a="1"/>
  <c r="F268" i="3"/>
  <c r="G268" i="3" a="1"/>
  <c r="G268" i="3"/>
  <c r="H268" i="3" a="1"/>
  <c r="H268" i="3"/>
  <c r="D269" i="3" a="1"/>
  <c r="D269" i="3"/>
  <c r="E269" i="3" a="1"/>
  <c r="E269" i="3"/>
  <c r="F269" i="3" a="1"/>
  <c r="F269" i="3"/>
  <c r="G269" i="3" a="1"/>
  <c r="G269" i="3"/>
  <c r="H269" i="3" a="1"/>
  <c r="H269" i="3"/>
  <c r="D270" i="3" a="1"/>
  <c r="D270" i="3"/>
  <c r="E270" i="3" a="1"/>
  <c r="E270" i="3"/>
  <c r="F270" i="3" a="1"/>
  <c r="F270" i="3"/>
  <c r="G270" i="3" a="1"/>
  <c r="G270" i="3"/>
  <c r="H270" i="3" a="1"/>
  <c r="H270" i="3"/>
  <c r="D271" i="3" a="1"/>
  <c r="D271" i="3"/>
  <c r="E271" i="3" a="1"/>
  <c r="E271" i="3"/>
  <c r="F271" i="3" a="1"/>
  <c r="F271" i="3"/>
  <c r="G271" i="3" a="1"/>
  <c r="G271" i="3"/>
  <c r="H271" i="3" a="1"/>
  <c r="H271" i="3"/>
  <c r="D272" i="3" a="1"/>
  <c r="D272" i="3"/>
  <c r="E272" i="3" a="1"/>
  <c r="E272" i="3"/>
  <c r="F272" i="3" a="1"/>
  <c r="F272" i="3"/>
  <c r="G272" i="3" a="1"/>
  <c r="G272" i="3"/>
  <c r="H272" i="3" a="1"/>
  <c r="H272" i="3"/>
  <c r="D273" i="3" a="1"/>
  <c r="D273" i="3"/>
  <c r="E273" i="3" a="1"/>
  <c r="E273" i="3"/>
  <c r="F273" i="3" a="1"/>
  <c r="F273" i="3"/>
  <c r="G273" i="3" a="1"/>
  <c r="G273" i="3"/>
  <c r="H273" i="3" a="1"/>
  <c r="H273" i="3"/>
  <c r="D274" i="3" a="1"/>
  <c r="D274" i="3"/>
  <c r="E274" i="3" a="1"/>
  <c r="E274" i="3"/>
  <c r="F274" i="3" a="1"/>
  <c r="F274" i="3"/>
  <c r="G274" i="3" a="1"/>
  <c r="G274" i="3"/>
  <c r="H274" i="3" a="1"/>
  <c r="H274" i="3"/>
  <c r="D275" i="3" a="1"/>
  <c r="D275" i="3"/>
  <c r="E275" i="3" a="1"/>
  <c r="E275" i="3"/>
  <c r="F275" i="3" a="1"/>
  <c r="F275" i="3"/>
  <c r="G275" i="3" a="1"/>
  <c r="G275" i="3"/>
  <c r="H275" i="3" a="1"/>
  <c r="H275" i="3"/>
  <c r="D276" i="3" a="1"/>
  <c r="D276" i="3"/>
  <c r="E276" i="3" a="1"/>
  <c r="E276" i="3"/>
  <c r="F276" i="3" a="1"/>
  <c r="F276" i="3"/>
  <c r="G276" i="3" a="1"/>
  <c r="G276" i="3"/>
  <c r="H276" i="3" a="1"/>
  <c r="H276" i="3"/>
  <c r="D277" i="3" a="1"/>
  <c r="D277" i="3"/>
  <c r="E277" i="3" a="1"/>
  <c r="E277" i="3"/>
  <c r="F277" i="3" a="1"/>
  <c r="F277" i="3"/>
  <c r="G277" i="3" a="1"/>
  <c r="G277" i="3"/>
  <c r="H277" i="3" a="1"/>
  <c r="H277" i="3"/>
  <c r="D278" i="3" a="1"/>
  <c r="D278" i="3"/>
  <c r="E278" i="3" a="1"/>
  <c r="E278" i="3"/>
  <c r="F278" i="3" a="1"/>
  <c r="F278" i="3"/>
  <c r="G278" i="3" a="1"/>
  <c r="G278" i="3"/>
  <c r="H278" i="3" a="1"/>
  <c r="H278" i="3"/>
  <c r="D279" i="3" a="1"/>
  <c r="D279" i="3"/>
  <c r="E279" i="3" a="1"/>
  <c r="E279" i="3"/>
  <c r="F279" i="3" a="1"/>
  <c r="F279" i="3"/>
  <c r="G279" i="3" a="1"/>
  <c r="G279" i="3"/>
  <c r="H279" i="3" a="1"/>
  <c r="H279" i="3"/>
  <c r="D280" i="3" a="1"/>
  <c r="D280" i="3"/>
  <c r="E280" i="3" a="1"/>
  <c r="E280" i="3"/>
  <c r="F280" i="3" a="1"/>
  <c r="F280" i="3"/>
  <c r="G280" i="3" a="1"/>
  <c r="G280" i="3"/>
  <c r="H280" i="3" a="1"/>
  <c r="H280" i="3"/>
  <c r="D281" i="3" a="1"/>
  <c r="D281" i="3"/>
  <c r="E281" i="3" a="1"/>
  <c r="E281" i="3"/>
  <c r="F281" i="3" a="1"/>
  <c r="F281" i="3"/>
  <c r="G281" i="3" a="1"/>
  <c r="G281" i="3"/>
  <c r="H281" i="3" a="1"/>
  <c r="H281" i="3"/>
  <c r="D282" i="3" a="1"/>
  <c r="D282" i="3"/>
  <c r="E282" i="3" a="1"/>
  <c r="E282" i="3"/>
  <c r="F282" i="3" a="1"/>
  <c r="F282" i="3"/>
  <c r="G282" i="3" a="1"/>
  <c r="G282" i="3"/>
  <c r="H282" i="3" a="1"/>
  <c r="H282" i="3"/>
  <c r="D283" i="3" a="1"/>
  <c r="D283" i="3"/>
  <c r="E283" i="3" a="1"/>
  <c r="E283" i="3"/>
  <c r="F283" i="3" a="1"/>
  <c r="F283" i="3"/>
  <c r="G283" i="3" a="1"/>
  <c r="G283" i="3"/>
  <c r="H283" i="3" a="1"/>
  <c r="H283" i="3"/>
  <c r="D284" i="3" a="1"/>
  <c r="D284" i="3"/>
  <c r="E284" i="3" a="1"/>
  <c r="E284" i="3"/>
  <c r="F284" i="3" a="1"/>
  <c r="F284" i="3"/>
  <c r="G284" i="3" a="1"/>
  <c r="G284" i="3"/>
  <c r="H284" i="3" a="1"/>
  <c r="H284" i="3"/>
  <c r="D285" i="3" a="1"/>
  <c r="D285" i="3"/>
  <c r="E285" i="3" a="1"/>
  <c r="E285" i="3"/>
  <c r="F285" i="3" a="1"/>
  <c r="F285" i="3"/>
  <c r="G285" i="3" a="1"/>
  <c r="G285" i="3"/>
  <c r="H285" i="3" a="1"/>
  <c r="H285" i="3"/>
  <c r="D286" i="3" a="1"/>
  <c r="D286" i="3"/>
  <c r="E286" i="3" a="1"/>
  <c r="E286" i="3"/>
  <c r="F286" i="3" a="1"/>
  <c r="F286" i="3"/>
  <c r="G286" i="3" a="1"/>
  <c r="G286" i="3"/>
  <c r="H286" i="3" a="1"/>
  <c r="H286" i="3"/>
  <c r="D287" i="3" a="1"/>
  <c r="D287" i="3"/>
  <c r="E287" i="3" a="1"/>
  <c r="E287" i="3"/>
  <c r="F287" i="3" a="1"/>
  <c r="F287" i="3"/>
  <c r="G287" i="3" a="1"/>
  <c r="G287" i="3"/>
  <c r="H287" i="3" a="1"/>
  <c r="H287" i="3"/>
  <c r="D288" i="3" a="1"/>
  <c r="D288" i="3"/>
  <c r="E288" i="3" a="1"/>
  <c r="E288" i="3"/>
  <c r="F288" i="3" a="1"/>
  <c r="F288" i="3"/>
  <c r="G288" i="3" a="1"/>
  <c r="G288" i="3"/>
  <c r="H288" i="3" a="1"/>
  <c r="H288" i="3"/>
  <c r="D289" i="3" a="1"/>
  <c r="D289" i="3"/>
  <c r="E289" i="3" a="1"/>
  <c r="E289" i="3"/>
  <c r="F289" i="3" a="1"/>
  <c r="F289" i="3"/>
  <c r="G289" i="3" a="1"/>
  <c r="G289" i="3"/>
  <c r="H289" i="3" a="1"/>
  <c r="H289" i="3"/>
  <c r="D290" i="3" a="1"/>
  <c r="D290" i="3"/>
  <c r="E290" i="3" a="1"/>
  <c r="E290" i="3"/>
  <c r="F290" i="3" a="1"/>
  <c r="F290" i="3"/>
  <c r="G290" i="3" a="1"/>
  <c r="G290" i="3"/>
  <c r="H290" i="3" a="1"/>
  <c r="H290" i="3"/>
  <c r="D291" i="3" a="1"/>
  <c r="D291" i="3"/>
  <c r="E291" i="3" a="1"/>
  <c r="E291" i="3"/>
  <c r="F291" i="3" a="1"/>
  <c r="F291" i="3"/>
  <c r="G291" i="3" a="1"/>
  <c r="G291" i="3"/>
  <c r="H291" i="3" a="1"/>
  <c r="H291" i="3"/>
  <c r="D292" i="3" a="1"/>
  <c r="D292" i="3"/>
  <c r="E292" i="3" a="1"/>
  <c r="E292" i="3"/>
  <c r="F292" i="3" a="1"/>
  <c r="F292" i="3"/>
  <c r="G292" i="3" a="1"/>
  <c r="G292" i="3"/>
  <c r="H292" i="3" a="1"/>
  <c r="H292" i="3"/>
  <c r="D293" i="3" a="1"/>
  <c r="D293" i="3"/>
  <c r="E293" i="3" a="1"/>
  <c r="E293" i="3"/>
  <c r="F293" i="3" a="1"/>
  <c r="F293" i="3"/>
  <c r="G293" i="3" a="1"/>
  <c r="G293" i="3"/>
  <c r="H293" i="3" a="1"/>
  <c r="H293" i="3"/>
  <c r="D294" i="3" a="1"/>
  <c r="D294" i="3"/>
  <c r="E294" i="3" a="1"/>
  <c r="E294" i="3"/>
  <c r="F294" i="3" a="1"/>
  <c r="F294" i="3"/>
  <c r="G294" i="3" a="1"/>
  <c r="G294" i="3"/>
  <c r="H294" i="3" a="1"/>
  <c r="H294" i="3"/>
  <c r="D295" i="3" a="1"/>
  <c r="D295" i="3"/>
  <c r="E295" i="3" a="1"/>
  <c r="E295" i="3"/>
  <c r="F295" i="3" a="1"/>
  <c r="F295" i="3"/>
  <c r="G295" i="3" a="1"/>
  <c r="G295" i="3"/>
  <c r="H295" i="3" a="1"/>
  <c r="H295" i="3"/>
  <c r="D296" i="3" a="1"/>
  <c r="D296" i="3"/>
  <c r="E296" i="3" a="1"/>
  <c r="E296" i="3"/>
  <c r="F296" i="3" a="1"/>
  <c r="F296" i="3"/>
  <c r="G296" i="3" a="1"/>
  <c r="G296" i="3"/>
  <c r="H296" i="3" a="1"/>
  <c r="H296" i="3"/>
  <c r="D297" i="3" a="1"/>
  <c r="D297" i="3"/>
  <c r="E297" i="3" a="1"/>
  <c r="E297" i="3"/>
  <c r="F297" i="3" a="1"/>
  <c r="F297" i="3"/>
  <c r="G297" i="3" a="1"/>
  <c r="G297" i="3"/>
  <c r="H297" i="3" a="1"/>
  <c r="H297" i="3"/>
  <c r="D298" i="3" a="1"/>
  <c r="D298" i="3"/>
  <c r="E298" i="3" a="1"/>
  <c r="E298" i="3"/>
  <c r="F298" i="3" a="1"/>
  <c r="F298" i="3"/>
  <c r="G298" i="3" a="1"/>
  <c r="G298" i="3"/>
  <c r="H298" i="3" a="1"/>
  <c r="H298" i="3"/>
  <c r="D299" i="3" a="1"/>
  <c r="D299" i="3"/>
  <c r="E299" i="3" a="1"/>
  <c r="E299" i="3"/>
  <c r="F299" i="3" a="1"/>
  <c r="F299" i="3"/>
  <c r="G299" i="3" a="1"/>
  <c r="G299" i="3"/>
  <c r="H299" i="3" a="1"/>
  <c r="H299" i="3"/>
  <c r="D300" i="3" a="1"/>
  <c r="D300" i="3"/>
  <c r="E300" i="3" a="1"/>
  <c r="E300" i="3"/>
  <c r="F300" i="3" a="1"/>
  <c r="F300" i="3"/>
  <c r="G300" i="3" a="1"/>
  <c r="G300" i="3"/>
  <c r="H300" i="3" a="1"/>
  <c r="H300" i="3"/>
  <c r="D301" i="3" a="1"/>
  <c r="D301" i="3"/>
  <c r="E301" i="3" a="1"/>
  <c r="E301" i="3"/>
  <c r="F301" i="3" a="1"/>
  <c r="F301" i="3"/>
  <c r="G301" i="3" a="1"/>
  <c r="G301" i="3"/>
  <c r="H301" i="3" a="1"/>
  <c r="H301" i="3"/>
  <c r="D302" i="3" a="1"/>
  <c r="D302" i="3"/>
  <c r="E302" i="3" a="1"/>
  <c r="E302" i="3"/>
  <c r="F302" i="3" a="1"/>
  <c r="F302" i="3"/>
  <c r="G302" i="3" a="1"/>
  <c r="G302" i="3"/>
  <c r="H302" i="3" a="1"/>
  <c r="H302" i="3"/>
  <c r="D303" i="3" a="1"/>
  <c r="D303" i="3"/>
  <c r="E303" i="3" a="1"/>
  <c r="E303" i="3"/>
  <c r="F303" i="3" a="1"/>
  <c r="F303" i="3"/>
  <c r="G303" i="3" a="1"/>
  <c r="G303" i="3"/>
  <c r="H303" i="3" a="1"/>
  <c r="H303" i="3"/>
  <c r="D304" i="3" a="1"/>
  <c r="D304" i="3"/>
  <c r="E304" i="3" a="1"/>
  <c r="E304" i="3"/>
  <c r="F304" i="3" a="1"/>
  <c r="F304" i="3"/>
  <c r="G304" i="3" a="1"/>
  <c r="G304" i="3"/>
  <c r="H304" i="3" a="1"/>
  <c r="H304" i="3"/>
  <c r="D305" i="3" a="1"/>
  <c r="D305" i="3"/>
  <c r="E305" i="3" a="1"/>
  <c r="E305" i="3"/>
  <c r="F305" i="3" a="1"/>
  <c r="F305" i="3"/>
  <c r="G305" i="3" a="1"/>
  <c r="G305" i="3"/>
  <c r="H305" i="3" a="1"/>
  <c r="H305" i="3"/>
  <c r="D306" i="3" a="1"/>
  <c r="D306" i="3"/>
  <c r="E306" i="3" a="1"/>
  <c r="E306" i="3"/>
  <c r="F306" i="3" a="1"/>
  <c r="F306" i="3"/>
  <c r="G306" i="3" a="1"/>
  <c r="G306" i="3"/>
  <c r="H306" i="3" a="1"/>
  <c r="H306" i="3"/>
  <c r="D307" i="3" a="1"/>
  <c r="D307" i="3"/>
  <c r="E307" i="3" a="1"/>
  <c r="E307" i="3"/>
  <c r="F307" i="3" a="1"/>
  <c r="F307" i="3"/>
  <c r="G307" i="3" a="1"/>
  <c r="G307" i="3"/>
  <c r="H307" i="3" a="1"/>
  <c r="H307" i="3"/>
  <c r="D308" i="3" a="1"/>
  <c r="D308" i="3"/>
  <c r="E308" i="3" a="1"/>
  <c r="E308" i="3"/>
  <c r="F308" i="3" a="1"/>
  <c r="F308" i="3"/>
  <c r="G308" i="3" a="1"/>
  <c r="G308" i="3"/>
  <c r="H308" i="3" a="1"/>
  <c r="H308" i="3"/>
  <c r="D309" i="3" a="1"/>
  <c r="D309" i="3"/>
  <c r="E309" i="3" a="1"/>
  <c r="E309" i="3"/>
  <c r="F309" i="3" a="1"/>
  <c r="F309" i="3"/>
  <c r="G309" i="3" a="1"/>
  <c r="G309" i="3"/>
  <c r="H309" i="3" a="1"/>
  <c r="H309" i="3"/>
  <c r="D310" i="3" a="1"/>
  <c r="D310" i="3"/>
  <c r="E310" i="3" a="1"/>
  <c r="E310" i="3"/>
  <c r="F310" i="3" a="1"/>
  <c r="F310" i="3"/>
  <c r="G310" i="3" a="1"/>
  <c r="G310" i="3"/>
  <c r="H310" i="3" a="1"/>
  <c r="H310" i="3"/>
  <c r="D311" i="3" a="1"/>
  <c r="D311" i="3"/>
  <c r="E311" i="3" a="1"/>
  <c r="E311" i="3"/>
  <c r="F311" i="3" a="1"/>
  <c r="F311" i="3"/>
  <c r="G311" i="3" a="1"/>
  <c r="G311" i="3"/>
  <c r="H311" i="3" a="1"/>
  <c r="H311" i="3"/>
  <c r="D312" i="3" a="1"/>
  <c r="D312" i="3"/>
  <c r="E312" i="3" a="1"/>
  <c r="E312" i="3"/>
  <c r="F312" i="3" a="1"/>
  <c r="F312" i="3"/>
  <c r="G312" i="3" a="1"/>
  <c r="G312" i="3"/>
  <c r="H312" i="3" a="1"/>
  <c r="H312" i="3"/>
  <c r="D313" i="3" a="1"/>
  <c r="D313" i="3"/>
  <c r="E313" i="3" a="1"/>
  <c r="E313" i="3"/>
  <c r="F313" i="3" a="1"/>
  <c r="F313" i="3"/>
  <c r="G313" i="3" a="1"/>
  <c r="G313" i="3"/>
  <c r="H313" i="3" a="1"/>
  <c r="H313" i="3"/>
  <c r="D314" i="3" a="1"/>
  <c r="D314" i="3"/>
  <c r="E314" i="3" a="1"/>
  <c r="E314" i="3"/>
  <c r="F314" i="3" a="1"/>
  <c r="F314" i="3"/>
  <c r="G314" i="3" a="1"/>
  <c r="G314" i="3"/>
  <c r="H314" i="3" a="1"/>
  <c r="H314" i="3"/>
  <c r="D315" i="3" a="1"/>
  <c r="D315" i="3"/>
  <c r="E315" i="3" a="1"/>
  <c r="E315" i="3"/>
  <c r="F315" i="3" a="1"/>
  <c r="F315" i="3"/>
  <c r="G315" i="3" a="1"/>
  <c r="G315" i="3"/>
  <c r="H315" i="3" a="1"/>
  <c r="H315" i="3"/>
  <c r="D316" i="3" a="1"/>
  <c r="D316" i="3"/>
  <c r="E316" i="3" a="1"/>
  <c r="E316" i="3"/>
  <c r="F316" i="3" a="1"/>
  <c r="F316" i="3"/>
  <c r="G316" i="3" a="1"/>
  <c r="G316" i="3"/>
  <c r="H316" i="3" a="1"/>
  <c r="H316" i="3"/>
  <c r="D317" i="3" a="1"/>
  <c r="D317" i="3"/>
  <c r="E317" i="3" a="1"/>
  <c r="E317" i="3"/>
  <c r="F317" i="3" a="1"/>
  <c r="F317" i="3"/>
  <c r="G317" i="3" a="1"/>
  <c r="G317" i="3"/>
  <c r="H317" i="3" a="1"/>
  <c r="H317" i="3"/>
  <c r="D318" i="3" a="1"/>
  <c r="D318" i="3"/>
  <c r="E318" i="3" a="1"/>
  <c r="E318" i="3"/>
  <c r="F318" i="3" a="1"/>
  <c r="F318" i="3"/>
  <c r="G318" i="3" a="1"/>
  <c r="G318" i="3"/>
  <c r="H318" i="3" a="1"/>
  <c r="H318" i="3"/>
  <c r="D319" i="3" a="1"/>
  <c r="D319" i="3"/>
  <c r="E319" i="3" a="1"/>
  <c r="E319" i="3"/>
  <c r="F319" i="3" a="1"/>
  <c r="F319" i="3"/>
  <c r="G319" i="3" a="1"/>
  <c r="G319" i="3"/>
  <c r="H319" i="3" a="1"/>
  <c r="H319" i="3"/>
  <c r="D320" i="3" a="1"/>
  <c r="D320" i="3"/>
  <c r="E320" i="3" a="1"/>
  <c r="E320" i="3"/>
  <c r="F320" i="3" a="1"/>
  <c r="F320" i="3"/>
  <c r="G320" i="3" a="1"/>
  <c r="G320" i="3"/>
  <c r="H320" i="3" a="1"/>
  <c r="H320" i="3"/>
  <c r="D321" i="3" a="1"/>
  <c r="D321" i="3"/>
  <c r="E321" i="3" a="1"/>
  <c r="E321" i="3"/>
  <c r="F321" i="3" a="1"/>
  <c r="F321" i="3"/>
  <c r="G321" i="3" a="1"/>
  <c r="G321" i="3"/>
  <c r="H321" i="3" a="1"/>
  <c r="H321" i="3"/>
  <c r="D322" i="3" a="1"/>
  <c r="D322" i="3"/>
  <c r="E322" i="3" a="1"/>
  <c r="E322" i="3"/>
  <c r="F322" i="3" a="1"/>
  <c r="F322" i="3"/>
  <c r="G322" i="3" a="1"/>
  <c r="G322" i="3"/>
  <c r="H322" i="3" a="1"/>
  <c r="H322" i="3"/>
  <c r="D323" i="3" a="1"/>
  <c r="D323" i="3"/>
  <c r="E323" i="3" a="1"/>
  <c r="E323" i="3"/>
  <c r="F323" i="3" a="1"/>
  <c r="F323" i="3"/>
  <c r="G323" i="3" a="1"/>
  <c r="G323" i="3"/>
  <c r="H323" i="3" a="1"/>
  <c r="H323" i="3"/>
  <c r="D324" i="3" a="1"/>
  <c r="D324" i="3"/>
  <c r="E324" i="3" a="1"/>
  <c r="E324" i="3"/>
  <c r="F324" i="3" a="1"/>
  <c r="F324" i="3"/>
  <c r="G324" i="3" a="1"/>
  <c r="G324" i="3"/>
  <c r="H324" i="3" a="1"/>
  <c r="H324" i="3"/>
  <c r="D325" i="3" a="1"/>
  <c r="D325" i="3"/>
  <c r="E325" i="3" a="1"/>
  <c r="E325" i="3"/>
  <c r="F325" i="3" a="1"/>
  <c r="F325" i="3"/>
  <c r="G325" i="3" a="1"/>
  <c r="G325" i="3"/>
  <c r="H325" i="3" a="1"/>
  <c r="H325" i="3"/>
  <c r="D326" i="3" a="1"/>
  <c r="D326" i="3"/>
  <c r="E326" i="3" a="1"/>
  <c r="E326" i="3"/>
  <c r="F326" i="3" a="1"/>
  <c r="F326" i="3"/>
  <c r="G326" i="3" a="1"/>
  <c r="G326" i="3"/>
  <c r="H326" i="3" a="1"/>
  <c r="H326" i="3"/>
  <c r="D327" i="3" a="1"/>
  <c r="D327" i="3"/>
  <c r="E327" i="3" a="1"/>
  <c r="E327" i="3"/>
  <c r="F327" i="3" a="1"/>
  <c r="F327" i="3"/>
  <c r="G327" i="3" a="1"/>
  <c r="G327" i="3"/>
  <c r="H327" i="3" a="1"/>
  <c r="H327" i="3"/>
  <c r="D328" i="3" a="1"/>
  <c r="D328" i="3"/>
  <c r="E328" i="3" a="1"/>
  <c r="E328" i="3"/>
  <c r="F328" i="3" a="1"/>
  <c r="F328" i="3"/>
  <c r="G328" i="3" a="1"/>
  <c r="G328" i="3"/>
  <c r="H328" i="3" a="1"/>
  <c r="H328" i="3"/>
  <c r="D329" i="3" a="1"/>
  <c r="D329" i="3"/>
  <c r="E329" i="3" a="1"/>
  <c r="E329" i="3"/>
  <c r="F329" i="3" a="1"/>
  <c r="F329" i="3"/>
  <c r="G329" i="3" a="1"/>
  <c r="G329" i="3"/>
  <c r="H329" i="3" a="1"/>
  <c r="H329" i="3"/>
  <c r="D330" i="3" a="1"/>
  <c r="D330" i="3"/>
  <c r="E330" i="3" a="1"/>
  <c r="E330" i="3"/>
  <c r="F330" i="3" a="1"/>
  <c r="F330" i="3"/>
  <c r="G330" i="3" a="1"/>
  <c r="G330" i="3"/>
  <c r="H330" i="3" a="1"/>
  <c r="H330" i="3"/>
  <c r="D331" i="3" a="1"/>
  <c r="D331" i="3"/>
  <c r="E331" i="3" a="1"/>
  <c r="E331" i="3"/>
  <c r="F331" i="3" a="1"/>
  <c r="F331" i="3"/>
  <c r="G331" i="3" a="1"/>
  <c r="G331" i="3"/>
  <c r="H331" i="3" a="1"/>
  <c r="H331" i="3"/>
  <c r="D332" i="3" a="1"/>
  <c r="D332" i="3"/>
  <c r="E332" i="3" a="1"/>
  <c r="E332" i="3"/>
  <c r="F332" i="3" a="1"/>
  <c r="F332" i="3"/>
  <c r="G332" i="3" a="1"/>
  <c r="G332" i="3"/>
  <c r="H332" i="3" a="1"/>
  <c r="H332" i="3"/>
  <c r="D333" i="3" a="1"/>
  <c r="D333" i="3"/>
  <c r="E333" i="3" a="1"/>
  <c r="E333" i="3"/>
  <c r="F333" i="3" a="1"/>
  <c r="F333" i="3"/>
  <c r="G333" i="3" a="1"/>
  <c r="G333" i="3"/>
  <c r="H333" i="3" a="1"/>
  <c r="H333" i="3"/>
  <c r="D334" i="3" a="1"/>
  <c r="D334" i="3"/>
  <c r="E334" i="3" a="1"/>
  <c r="E334" i="3"/>
  <c r="F334" i="3" a="1"/>
  <c r="F334" i="3"/>
  <c r="G334" i="3" a="1"/>
  <c r="G334" i="3"/>
  <c r="H334" i="3" a="1"/>
  <c r="H334" i="3"/>
  <c r="D335" i="3" a="1"/>
  <c r="D335" i="3"/>
  <c r="E335" i="3" a="1"/>
  <c r="E335" i="3"/>
  <c r="F335" i="3" a="1"/>
  <c r="F335" i="3"/>
  <c r="G335" i="3" a="1"/>
  <c r="G335" i="3"/>
  <c r="H335" i="3" a="1"/>
  <c r="H335" i="3"/>
  <c r="D336" i="3" a="1"/>
  <c r="D336" i="3"/>
  <c r="E336" i="3" a="1"/>
  <c r="E336" i="3"/>
  <c r="F336" i="3" a="1"/>
  <c r="F336" i="3"/>
  <c r="G336" i="3" a="1"/>
  <c r="G336" i="3"/>
  <c r="H336" i="3" a="1"/>
  <c r="H336" i="3"/>
  <c r="D337" i="3" a="1"/>
  <c r="D337" i="3"/>
  <c r="E337" i="3" a="1"/>
  <c r="E337" i="3"/>
  <c r="F337" i="3" a="1"/>
  <c r="F337" i="3"/>
  <c r="G337" i="3" a="1"/>
  <c r="G337" i="3"/>
  <c r="H337" i="3" a="1"/>
  <c r="H337" i="3"/>
  <c r="D338" i="3" a="1"/>
  <c r="D338" i="3"/>
  <c r="E338" i="3" a="1"/>
  <c r="E338" i="3"/>
  <c r="F338" i="3" a="1"/>
  <c r="F338" i="3"/>
  <c r="G338" i="3" a="1"/>
  <c r="G338" i="3"/>
  <c r="H338" i="3" a="1"/>
  <c r="H338" i="3"/>
  <c r="D339" i="3" a="1"/>
  <c r="D339" i="3"/>
  <c r="E339" i="3" a="1"/>
  <c r="E339" i="3"/>
  <c r="F339" i="3" a="1"/>
  <c r="F339" i="3"/>
  <c r="G339" i="3" a="1"/>
  <c r="G339" i="3"/>
  <c r="H339" i="3" a="1"/>
  <c r="H339" i="3"/>
  <c r="D340" i="3" a="1"/>
  <c r="D340" i="3"/>
  <c r="E340" i="3" a="1"/>
  <c r="E340" i="3"/>
  <c r="F340" i="3" a="1"/>
  <c r="F340" i="3"/>
  <c r="G340" i="3" a="1"/>
  <c r="G340" i="3"/>
  <c r="H340" i="3" a="1"/>
  <c r="H340" i="3"/>
  <c r="D341" i="3" a="1"/>
  <c r="D341" i="3"/>
  <c r="E341" i="3" a="1"/>
  <c r="E341" i="3"/>
  <c r="F341" i="3" a="1"/>
  <c r="F341" i="3"/>
  <c r="G341" i="3" a="1"/>
  <c r="G341" i="3"/>
  <c r="H341" i="3" a="1"/>
  <c r="H341" i="3"/>
  <c r="D342" i="3" a="1"/>
  <c r="D342" i="3"/>
  <c r="E342" i="3" a="1"/>
  <c r="E342" i="3"/>
  <c r="F342" i="3" a="1"/>
  <c r="F342" i="3"/>
  <c r="G342" i="3" a="1"/>
  <c r="G342" i="3"/>
  <c r="H342" i="3" a="1"/>
  <c r="H342" i="3"/>
  <c r="D343" i="3" a="1"/>
  <c r="D343" i="3"/>
  <c r="E343" i="3" a="1"/>
  <c r="E343" i="3"/>
  <c r="F343" i="3" a="1"/>
  <c r="F343" i="3"/>
  <c r="G343" i="3" a="1"/>
  <c r="G343" i="3"/>
  <c r="H343" i="3" a="1"/>
  <c r="H343" i="3"/>
  <c r="D344" i="3" a="1"/>
  <c r="D344" i="3"/>
  <c r="E344" i="3" a="1"/>
  <c r="E344" i="3"/>
  <c r="F344" i="3" a="1"/>
  <c r="F344" i="3"/>
  <c r="G344" i="3" a="1"/>
  <c r="G344" i="3"/>
  <c r="H344" i="3" a="1"/>
  <c r="H344" i="3"/>
  <c r="D345" i="3" a="1"/>
  <c r="D345" i="3"/>
  <c r="E345" i="3" a="1"/>
  <c r="E345" i="3"/>
  <c r="F345" i="3" a="1"/>
  <c r="F345" i="3"/>
  <c r="G345" i="3" a="1"/>
  <c r="G345" i="3"/>
  <c r="H345" i="3" a="1"/>
  <c r="H345" i="3"/>
  <c r="D346" i="3" a="1"/>
  <c r="D346" i="3"/>
  <c r="E346" i="3" a="1"/>
  <c r="E346" i="3"/>
  <c r="F346" i="3" a="1"/>
  <c r="F346" i="3"/>
  <c r="G346" i="3" a="1"/>
  <c r="G346" i="3"/>
  <c r="H346" i="3" a="1"/>
  <c r="H346" i="3"/>
  <c r="D347" i="3" a="1"/>
  <c r="D347" i="3"/>
  <c r="E347" i="3" a="1"/>
  <c r="E347" i="3"/>
  <c r="F347" i="3" a="1"/>
  <c r="F347" i="3"/>
  <c r="G347" i="3" a="1"/>
  <c r="G347" i="3"/>
  <c r="H347" i="3" a="1"/>
  <c r="H347" i="3"/>
  <c r="D348" i="3" a="1"/>
  <c r="D348" i="3"/>
  <c r="E348" i="3" a="1"/>
  <c r="E348" i="3"/>
  <c r="F348" i="3" a="1"/>
  <c r="F348" i="3"/>
  <c r="G348" i="3" a="1"/>
  <c r="G348" i="3"/>
  <c r="H348" i="3" a="1"/>
  <c r="H348" i="3"/>
  <c r="D349" i="3" a="1"/>
  <c r="D349" i="3"/>
  <c r="E349" i="3" a="1"/>
  <c r="E349" i="3"/>
  <c r="F349" i="3" a="1"/>
  <c r="F349" i="3"/>
  <c r="G349" i="3" a="1"/>
  <c r="G349" i="3"/>
  <c r="H349" i="3" a="1"/>
  <c r="H349" i="3"/>
  <c r="D350" i="3" a="1"/>
  <c r="D350" i="3"/>
  <c r="E350" i="3" a="1"/>
  <c r="E350" i="3"/>
  <c r="F350" i="3" a="1"/>
  <c r="F350" i="3"/>
  <c r="G350" i="3" a="1"/>
  <c r="G350" i="3"/>
  <c r="H350" i="3" a="1"/>
  <c r="H350" i="3"/>
  <c r="D351" i="3" a="1"/>
  <c r="D351" i="3"/>
  <c r="E351" i="3" a="1"/>
  <c r="E351" i="3"/>
  <c r="F351" i="3" a="1"/>
  <c r="F351" i="3"/>
  <c r="G351" i="3" a="1"/>
  <c r="G351" i="3"/>
  <c r="H351" i="3" a="1"/>
  <c r="H351" i="3"/>
  <c r="D352" i="3" a="1"/>
  <c r="D352" i="3"/>
  <c r="E352" i="3" a="1"/>
  <c r="E352" i="3"/>
  <c r="F352" i="3" a="1"/>
  <c r="F352" i="3"/>
  <c r="G352" i="3" a="1"/>
  <c r="G352" i="3"/>
  <c r="H352" i="3" a="1"/>
  <c r="H352" i="3"/>
  <c r="D353" i="3" a="1"/>
  <c r="D353" i="3"/>
  <c r="E353" i="3" a="1"/>
  <c r="E353" i="3"/>
  <c r="F353" i="3" a="1"/>
  <c r="F353" i="3"/>
  <c r="G353" i="3" a="1"/>
  <c r="G353" i="3"/>
  <c r="H353" i="3" a="1"/>
  <c r="H353" i="3"/>
  <c r="D354" i="3" a="1"/>
  <c r="D354" i="3"/>
  <c r="E354" i="3" a="1"/>
  <c r="E354" i="3"/>
  <c r="F354" i="3" a="1"/>
  <c r="F354" i="3"/>
  <c r="G354" i="3" a="1"/>
  <c r="G354" i="3"/>
  <c r="H354" i="3" a="1"/>
  <c r="H354" i="3"/>
  <c r="D355" i="3" a="1"/>
  <c r="D355" i="3"/>
  <c r="E355" i="3" a="1"/>
  <c r="E355" i="3"/>
  <c r="F355" i="3" a="1"/>
  <c r="F355" i="3"/>
  <c r="G355" i="3" a="1"/>
  <c r="G355" i="3"/>
  <c r="H355" i="3" a="1"/>
  <c r="H355" i="3"/>
  <c r="D356" i="3" a="1"/>
  <c r="D356" i="3"/>
  <c r="E356" i="3" a="1"/>
  <c r="E356" i="3"/>
  <c r="F356" i="3" a="1"/>
  <c r="F356" i="3"/>
  <c r="G356" i="3" a="1"/>
  <c r="G356" i="3"/>
  <c r="H356" i="3" a="1"/>
  <c r="H356" i="3"/>
  <c r="D357" i="3" a="1"/>
  <c r="D357" i="3"/>
  <c r="E357" i="3" a="1"/>
  <c r="E357" i="3"/>
  <c r="F357" i="3" a="1"/>
  <c r="F357" i="3"/>
  <c r="G357" i="3" a="1"/>
  <c r="G357" i="3"/>
  <c r="H357" i="3" a="1"/>
  <c r="H357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D4" i="3" a="1"/>
  <c r="D4" i="3"/>
  <c r="D8" i="3" a="1"/>
  <c r="D8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D3" i="3" a="1"/>
  <c r="D3" i="3"/>
  <c r="C3" i="3"/>
  <c r="F3" i="2"/>
  <c r="O2" i="3" a="1"/>
  <c r="G9" i="3" a="1"/>
  <c r="G9" i="3"/>
  <c r="O2" i="3"/>
  <c r="H3" i="3" a="1"/>
  <c r="H3" i="3"/>
  <c r="G3" i="3" a="1"/>
  <c r="G3" i="3"/>
  <c r="F3" i="3" a="1"/>
  <c r="F3" i="3"/>
  <c r="H8" i="3" a="1"/>
  <c r="H8" i="3"/>
  <c r="G8" i="3" a="1"/>
  <c r="G8" i="3"/>
  <c r="F8" i="3" a="1"/>
  <c r="F8" i="3"/>
  <c r="E8" i="3" a="1"/>
  <c r="E8" i="3"/>
  <c r="H7" i="3" a="1"/>
  <c r="H7" i="3"/>
  <c r="G7" i="3" a="1"/>
  <c r="G7" i="3"/>
  <c r="F7" i="3" a="1"/>
  <c r="F7" i="3"/>
  <c r="E7" i="3" a="1"/>
  <c r="E7" i="3"/>
  <c r="H6" i="3" a="1"/>
  <c r="H6" i="3"/>
  <c r="G6" i="3" a="1"/>
  <c r="G6" i="3"/>
  <c r="F6" i="3" a="1"/>
  <c r="F6" i="3"/>
  <c r="E6" i="3" a="1"/>
  <c r="E6" i="3"/>
  <c r="H5" i="3" a="1"/>
  <c r="H5" i="3"/>
  <c r="G5" i="3" a="1"/>
  <c r="G5" i="3"/>
  <c r="F5" i="3" a="1"/>
  <c r="F5" i="3"/>
  <c r="E5" i="3" a="1"/>
  <c r="E5" i="3"/>
  <c r="H4" i="3" a="1"/>
  <c r="H4" i="3"/>
  <c r="G4" i="3" a="1"/>
  <c r="G4" i="3"/>
  <c r="F4" i="3" a="1"/>
  <c r="F4" i="3"/>
  <c r="E4" i="3" a="1"/>
  <c r="E4" i="3"/>
  <c r="M6" i="3" a="1"/>
  <c r="M6" i="3"/>
  <c r="M7" i="3"/>
  <c r="P6" i="3" a="1"/>
  <c r="P6" i="3"/>
  <c r="P7" i="3"/>
  <c r="N6" i="3" a="1"/>
  <c r="N6" i="3"/>
  <c r="N7" i="3"/>
  <c r="Q6" i="3" a="1"/>
  <c r="Q6" i="3"/>
  <c r="Q7" i="3"/>
  <c r="O6" i="3" a="1"/>
  <c r="O6" i="3"/>
  <c r="O7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<sst xmlns="http://schemas.openxmlformats.org/spreadsheetml/2006/main" count="147" uniqueCount="97">
  <si>
    <t>Calories</t>
  </si>
  <si>
    <t>Food</t>
  </si>
  <si>
    <t>Per Unit</t>
  </si>
  <si>
    <t>Green lentils (raw)</t>
  </si>
  <si>
    <t>1 cup (192g)</t>
  </si>
  <si>
    <t>Sodium</t>
  </si>
  <si>
    <t>Fibers</t>
  </si>
  <si>
    <t>Sugars</t>
  </si>
  <si>
    <t>Fats (g)</t>
  </si>
  <si>
    <t>Proteins (g)</t>
  </si>
  <si>
    <t>Carbohydrates (g)</t>
  </si>
  <si>
    <t>Potassium</t>
  </si>
  <si>
    <t>Iron</t>
  </si>
  <si>
    <t>B6</t>
  </si>
  <si>
    <t>C</t>
  </si>
  <si>
    <t>Magnesium</t>
  </si>
  <si>
    <t>Elements (mg)</t>
  </si>
  <si>
    <t>Vitamins (mg)</t>
  </si>
  <si>
    <t>B12</t>
  </si>
  <si>
    <t>D</t>
  </si>
  <si>
    <t>Chickpeas (raw)</t>
  </si>
  <si>
    <t>1 cup (200g)</t>
  </si>
  <si>
    <t>Avocado</t>
  </si>
  <si>
    <t>Eggs</t>
  </si>
  <si>
    <t>1 fruit (200g)</t>
  </si>
  <si>
    <t>100g</t>
  </si>
  <si>
    <t>1 large (50g)</t>
  </si>
  <si>
    <t>Fats (g/day)</t>
  </si>
  <si>
    <t>Carbohydrates (g/day)</t>
  </si>
  <si>
    <t>Physical activity level</t>
  </si>
  <si>
    <t>Gender</t>
  </si>
  <si>
    <t>Male</t>
  </si>
  <si>
    <t>Height (cm)</t>
  </si>
  <si>
    <t>Weight (kg)</t>
  </si>
  <si>
    <t>Age group (y)</t>
  </si>
  <si>
    <t>Elements (mg/day)</t>
  </si>
  <si>
    <t>Vitamins (mg/day)</t>
  </si>
  <si>
    <t>Water (l/day)</t>
  </si>
  <si>
    <t>1 pitted (25g)</t>
  </si>
  <si>
    <t>Green beans (raw)</t>
  </si>
  <si>
    <t>Cauliflower (raw)</t>
  </si>
  <si>
    <t>Brocoli (raw)</t>
  </si>
  <si>
    <t>Leeks (raw)</t>
  </si>
  <si>
    <t>Tahini</t>
  </si>
  <si>
    <t>Artichoke (raw)</t>
  </si>
  <si>
    <t>1tbsp (15g)</t>
  </si>
  <si>
    <t>Quantity</t>
  </si>
  <si>
    <t>Unit</t>
  </si>
  <si>
    <t>Mult.</t>
  </si>
  <si>
    <t>Total</t>
  </si>
  <si>
    <t>Absolute</t>
  </si>
  <si>
    <t>% Daily value</t>
  </si>
  <si>
    <t>Calories (kcal)</t>
  </si>
  <si>
    <t>Age (y)</t>
  </si>
  <si>
    <t>Dattes</t>
  </si>
  <si>
    <t>Estimated Energy Requirement Formula</t>
  </si>
  <si>
    <t>Proteins (g/kg/day)</t>
  </si>
  <si>
    <t>"="</t>
  </si>
  <si>
    <t>Cabbage, Savoy  (raw)</t>
  </si>
  <si>
    <t>Onion, Red (raw)</t>
  </si>
  <si>
    <t>1 large (150g)</t>
  </si>
  <si>
    <t>Rice, White (raw)</t>
  </si>
  <si>
    <t>1 cup (185g)</t>
  </si>
  <si>
    <t>Tomato, Roma (raw)</t>
  </si>
  <si>
    <t>Butternut squash (raw)</t>
  </si>
  <si>
    <t>Wheat flour, Whole</t>
  </si>
  <si>
    <t>Grapefruit</t>
  </si>
  <si>
    <t>0.5 fruit (123g)</t>
  </si>
  <si>
    <t>Nutritional yeast</t>
  </si>
  <si>
    <t>1 cup (170g)</t>
  </si>
  <si>
    <t>Brussels sprouts (raw)</t>
  </si>
  <si>
    <t>Cottage cheese (4% fat)</t>
  </si>
  <si>
    <t>1 cup (240g)</t>
  </si>
  <si>
    <t>Coconut, Milk</t>
  </si>
  <si>
    <t>Female</t>
  </si>
  <si>
    <t>Basal</t>
  </si>
  <si>
    <t>19-50</t>
  </si>
  <si>
    <t>Estimated Energy Requirement (kcal)</t>
  </si>
  <si>
    <t>SUM(661.8,PRODUCT(-9.53,age),PRODUCT(539.6,PRODUCT(height,0.01)),PRODUCT(15.91,weight))</t>
  </si>
  <si>
    <t>SUM(354.1,PRODUCT(-6.91,age),PRODUCT(726,PRODUCT(height,0.01)),PRODUCT(9.36,weight))</t>
  </si>
  <si>
    <t>Corn, Yellow (canned)</t>
  </si>
  <si>
    <t>1 cup (164g)</t>
  </si>
  <si>
    <t>Labneh cheese</t>
  </si>
  <si>
    <t>Sweet potato (raw)</t>
  </si>
  <si>
    <t>Eggplant (raw)</t>
  </si>
  <si>
    <t>Zucchini (raw)</t>
  </si>
  <si>
    <t>Raspberries</t>
  </si>
  <si>
    <t>Blackcurrants</t>
  </si>
  <si>
    <t>Strawberries</t>
  </si>
  <si>
    <t>Banana</t>
  </si>
  <si>
    <t>Mango</t>
  </si>
  <si>
    <t>Hazelnuts (raw)</t>
  </si>
  <si>
    <t>Cashew, nut (raw)</t>
  </si>
  <si>
    <t>Almond, nut (raw)</t>
  </si>
  <si>
    <t>Oats, whole grain (rolled)</t>
  </si>
  <si>
    <t>1 cup (135g)</t>
  </si>
  <si>
    <t>Mushrooms, Crimini (raw)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</si>
</sst>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name val="Aptos Narrow"/>
      <family val="2"/>
      <scheme val="minor"/>
    </font>
    <font>
      <b/>
      <sz val="1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1" fontId="0" fillId="0" borderId="0" xfId="0" applyNumberFormat="1"/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right"/>
    </xf>
    <xf numFmtId="2" fontId="0" fillId="0" borderId="6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5" xfId="0" applyBorder="1"/>
    <xf numFmtId="0" fontId="5" fillId="2" borderId="10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8" fillId="0" borderId="0" xfId="0" applyFont="1"/>
    <xf numFmtId="0" fontId="7" fillId="0" borderId="0" xfId="0" applyFont="1" applyAlignment="1">
      <alignment vertical="center" wrapText="1"/>
    </xf>
    <xf numFmtId="0" fontId="4" fillId="0" borderId="0" xfId="0" applyFont="1"/>
    <xf numFmtId="1" fontId="0" fillId="0" borderId="0" xfId="0" applyNumberFormat="1"/>
    <xf numFmtId="0" fontId="9" fillId="0" borderId="0" xfId="0" applyFont="1"/>
    <xf numFmtId="2" fontId="9" fillId="0" borderId="0" xfId="0" applyNumberFormat="1" applyFont="1"/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2" fontId="0" fillId="0" borderId="5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20">
    <dxf>
      <alignment horizontal="center" textRotation="0" indent="0" justifyLastLine="0" shrinkToFit="0" readingOrder="0"/>
    </dxf>
    <dxf>
      <numFmt numFmtId="15" formatCode="0.00E+00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5" formatCode="0.00E+00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676275</xdr:colOff>
          <xdr:row>9</xdr:row>
          <xdr:rowOff>76200</xdr:rowOff>
        </xdr:from>
        <xdr:to>
          <xdr:col>13</xdr:col>
          <xdr:colOff>76200</xdr:colOff>
          <xdr:row>11</xdr:row>
          <xdr:rowOff>85725</xdr:rowOff>
        </xdr:to>
        <xdr:sp macro="" textlink="">
          <xdr:nvSpPr>
            <xdr:cNvPr id="1030" name="Clear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10</v>
    <v>10</v>
  </rv>
  <rv s="1">
    <v>10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53C386-DF17-4D8E-A3FA-98E2E23F2296}" name="FoodTable" displayName="FoodTable" ref="A2:O39" totalsRowShown="0" headerRowDxfId="19">
  <autoFilter ref="A2:O39" xr:uid="{CA53C386-DF17-4D8E-A3FA-98E2E23F2296}"/>
  <sortState xmlns:xlrd2="http://schemas.microsoft.com/office/spreadsheetml/2017/richdata2" ref="A3:O39">
    <sortCondition ref="A2:A39"/>
  </sortState>
  <tableColumns count="15">
    <tableColumn id="1" xr3:uid="{846A08B2-5BBA-4629-AAA5-A54401FA621B}" name="Food"/>
    <tableColumn id="2" xr3:uid="{4A99AE34-1AB7-46D2-8013-2A2477C18225}" name="Per Unit"/>
    <tableColumn id="3" xr3:uid="{04822DE3-E801-44F8-86A9-75F12E98D5E0}" name="Calories (kcal)"/>
    <tableColumn id="4" xr3:uid="{7F2B3779-60AF-4611-8F35-DD62DCC3E3EF}" name="Fats (g)"/>
    <tableColumn id="5" xr3:uid="{F6D2FFD4-CB6B-4311-B95E-746956DB9FA2}" name="Proteins (g)"/>
    <tableColumn id="6" xr3:uid="{6E8DE421-63E4-4ED0-AE53-A129C88B8667}" name="Fibers"/>
    <tableColumn id="7" xr3:uid="{C2DBAE00-38DA-4503-8169-7E42200B4265}" name="Sugars"/>
    <tableColumn id="8" xr3:uid="{9E019AF4-1A0A-4222-9F9D-E646D8CA3938}" name="Sodium"/>
    <tableColumn id="9" xr3:uid="{5D168A0C-DFD5-4469-BBC6-231D44054FC6}" name="Potassium"/>
    <tableColumn id="10" xr3:uid="{7F394203-83E3-4D93-B748-061CC10F9F81}" name="Magnesium"/>
    <tableColumn id="11" xr3:uid="{C27B9C13-93C6-466D-ACC9-DD2D91366902}" name="Iron"/>
    <tableColumn id="12" xr3:uid="{65730A25-443A-41D9-9654-762949A04BDE}" name="B6"/>
    <tableColumn id="13" xr3:uid="{76060238-A4D0-4427-AE73-EA37B48F282B}" name="B12"/>
    <tableColumn id="14" xr3:uid="{57C43E48-3BFC-45D2-94FA-21C037CB0652}" name="C"/>
    <tableColumn id="15" xr3:uid="{761D369E-E892-411F-BF59-384A14582226}" name="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E6F78EF-31E8-48F0-AFF9-C44BC38C4B4E}" name="RefTable" displayName="RefTable" ref="A2:Q4" totalsRowShown="0" headerRowDxfId="18" dataDxfId="17">
  <autoFilter ref="A2:Q4" xr:uid="{3E6F78EF-31E8-48F0-AFF9-C44BC38C4B4E}"/>
  <tableColumns count="17">
    <tableColumn id="1" xr3:uid="{748AC89F-7A1C-46BD-84C0-5874FB34777E}" name="Gender" dataDxfId="16"/>
    <tableColumn id="2" xr3:uid="{92A03387-B21C-4A5C-B07E-82EC6D22A2D6}" name="Age group (y)" dataDxfId="15"/>
    <tableColumn id="5" xr3:uid="{1A65CDAC-FC11-44B7-ABF5-FE6CAB247565}" name="Physical activity level" dataDxfId="14"/>
    <tableColumn id="6" xr3:uid="{FF061B23-DE5A-42C0-82D3-088A8D749CD9}" name="Estimated Energy Requirement Formula" dataDxfId="13">
      <calculatedColumnFormula array="1">511.83-(7.01*age)+(9.07*height)+(12.56+weight)</calculatedColumnFormula>
    </tableColumn>
    <tableColumn id="7" xr3:uid="{EE58AAE8-DAA8-4AA8-854F-35821FE0C040}" name="Fats (g/day)" dataDxfId="12"/>
    <tableColumn id="8" xr3:uid="{DD977A28-7917-4250-BB5D-D313FE7C525F}" name="Proteins (g/kg/day)" dataDxfId="11">
      <calculatedColumnFormula>0.8</calculatedColumnFormula>
    </tableColumn>
    <tableColumn id="9" xr3:uid="{C6A4A4AC-9A43-4547-9239-DF5DB9F822F1}" name="Fibers" dataDxfId="10"/>
    <tableColumn id="10" xr3:uid="{8BECF360-4CFE-4B8F-9A75-3BE7DC41F798}" name="Sugars" dataDxfId="9"/>
    <tableColumn id="11" xr3:uid="{3843A7F5-A74C-4683-9406-629955146FAE}" name="Sodium" dataDxfId="8"/>
    <tableColumn id="12" xr3:uid="{9EEDB0EB-A620-4AA0-BB62-2A7B7082B87E}" name="Potassium" dataDxfId="7"/>
    <tableColumn id="13" xr3:uid="{951D2A1C-AAF4-43A9-9E45-09B4F94AE015}" name="Magnesium" dataDxfId="6"/>
    <tableColumn id="14" xr3:uid="{B54D5652-2F62-496E-9110-8F28F6605790}" name="Iron" dataDxfId="5"/>
    <tableColumn id="15" xr3:uid="{7FAB1504-81BF-4FCD-9EEC-D9615FD1C133}" name="B6" dataDxfId="4"/>
    <tableColumn id="16" xr3:uid="{262A9A4D-2CC4-4093-B0BB-A9F71F1A06DC}" name="B12" dataDxfId="3"/>
    <tableColumn id="17" xr3:uid="{A80EA75C-F8C2-4CD5-ADA1-D862A0104710}" name="C" dataDxfId="2"/>
    <tableColumn id="18" xr3:uid="{7F3FD1B0-D660-4E3C-8DE7-9B5AEC22B513}" name="D" dataDxfId="1"/>
    <tableColumn id="19" xr3:uid="{2AFB4B65-CC49-4698-A4D9-A252BCDC5878}" name="Water (l/da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E47AB-DD68-4E06-B9C5-DAF4FC85A781}">
  <sheetPr codeName="Sheet2"/>
  <dimension ref="A1:O39"/>
  <sheetViews>
    <sheetView workbookViewId="0">
      <selection activeCell="E43" sqref="E43"/>
    </sheetView>
  </sheetViews>
  <sheetFormatPr defaultRowHeight="15" x14ac:dyDescent="0.2"/>
  <cols>
    <col min="1" max="1" width="24.34765625" customWidth="1"/>
    <col min="2" max="2" width="14.2578125" customWidth="1"/>
    <col min="3" max="3" width="19.37109375" customWidth="1"/>
    <col min="4" max="4" width="13.5859375" customWidth="1"/>
    <col min="5" max="5" width="15.6015625" customWidth="1"/>
    <col min="6" max="6" width="13.046875" customWidth="1"/>
    <col min="7" max="7" width="13.1796875" customWidth="1"/>
    <col min="8" max="8" width="11.43359375" bestFit="1" customWidth="1"/>
    <col min="9" max="9" width="13.5859375" bestFit="1" customWidth="1"/>
    <col min="10" max="10" width="14.390625" bestFit="1" customWidth="1"/>
    <col min="11" max="11" width="8.7421875" bestFit="1" customWidth="1"/>
    <col min="12" max="12" width="7.6640625" bestFit="1" customWidth="1"/>
    <col min="13" max="13" width="8.609375" bestFit="1" customWidth="1"/>
    <col min="14" max="14" width="6.72265625" bestFit="1" customWidth="1"/>
    <col min="15" max="15" width="8.203125" bestFit="1" customWidth="1"/>
  </cols>
  <sheetData>
    <row r="1" spans="1:15" x14ac:dyDescent="0.2">
      <c r="A1" s="16"/>
      <c r="B1" s="16"/>
      <c r="C1" s="16"/>
      <c r="D1" s="16"/>
      <c r="E1" s="16"/>
      <c r="F1" s="32" t="s">
        <v>10</v>
      </c>
      <c r="G1" s="34"/>
      <c r="H1" s="32" t="s">
        <v>16</v>
      </c>
      <c r="I1" s="33"/>
      <c r="J1" s="33"/>
      <c r="K1" s="34"/>
      <c r="L1" s="32" t="s">
        <v>17</v>
      </c>
      <c r="M1" s="33"/>
      <c r="N1" s="33"/>
      <c r="O1" s="34"/>
    </row>
    <row r="2" spans="1:15" ht="15" customHeight="1" x14ac:dyDescent="0.2">
      <c r="A2" s="12" t="s">
        <v>1</v>
      </c>
      <c r="B2" s="13" t="s">
        <v>2</v>
      </c>
      <c r="C2" s="13" t="s">
        <v>52</v>
      </c>
      <c r="D2" s="13" t="s">
        <v>8</v>
      </c>
      <c r="E2" s="13" t="s">
        <v>9</v>
      </c>
      <c r="F2" s="14" t="s">
        <v>6</v>
      </c>
      <c r="G2" s="15" t="s">
        <v>7</v>
      </c>
      <c r="H2" s="14" t="s">
        <v>5</v>
      </c>
      <c r="I2" s="14" t="s">
        <v>11</v>
      </c>
      <c r="J2" s="14" t="s">
        <v>15</v>
      </c>
      <c r="K2" s="15" t="s">
        <v>12</v>
      </c>
      <c r="L2" s="14" t="s">
        <v>13</v>
      </c>
      <c r="M2" s="14" t="s">
        <v>18</v>
      </c>
      <c r="N2" s="14" t="s">
        <v>14</v>
      </c>
      <c r="O2" s="15" t="s">
        <v>19</v>
      </c>
    </row>
    <row r="3" spans="1:15" x14ac:dyDescent="0.2">
      <c r="A3" t="s">
        <v>93</v>
      </c>
      <c r="B3" t="s">
        <v>25</v>
      </c>
      <c r="C3">
        <v>605</v>
      </c>
      <c r="D3">
        <v>51.1</v>
      </c>
      <c r="E3">
        <v>21.2</v>
      </c>
      <c r="F3">
        <v>10.8</v>
      </c>
      <c r="G3">
        <v>20</v>
      </c>
      <c r="H3">
        <v>2.5</v>
      </c>
      <c r="I3">
        <v>733</v>
      </c>
      <c r="J3">
        <v>258</v>
      </c>
      <c r="K3">
        <v>3.71</v>
      </c>
      <c r="L3">
        <v>0.13700000000000001</v>
      </c>
      <c r="M3">
        <v>0</v>
      </c>
      <c r="N3">
        <v>0</v>
      </c>
      <c r="O3">
        <v>0</v>
      </c>
    </row>
    <row r="4" spans="1:15" x14ac:dyDescent="0.2">
      <c r="A4" t="s">
        <v>44</v>
      </c>
      <c r="B4" t="s">
        <v>25</v>
      </c>
      <c r="C4">
        <v>47</v>
      </c>
      <c r="D4">
        <v>0.15</v>
      </c>
      <c r="E4">
        <v>3.27</v>
      </c>
      <c r="F4">
        <v>5.4</v>
      </c>
      <c r="G4">
        <v>0.99</v>
      </c>
      <c r="H4">
        <v>94</v>
      </c>
      <c r="I4">
        <v>370</v>
      </c>
      <c r="J4">
        <v>60</v>
      </c>
      <c r="K4">
        <v>1.28</v>
      </c>
      <c r="L4">
        <v>0.11600000000000001</v>
      </c>
      <c r="M4">
        <v>0</v>
      </c>
      <c r="N4">
        <v>11.7</v>
      </c>
      <c r="O4">
        <v>0</v>
      </c>
    </row>
    <row r="5" spans="1:15" x14ac:dyDescent="0.2">
      <c r="A5" t="s">
        <v>22</v>
      </c>
      <c r="B5" t="s">
        <v>24</v>
      </c>
      <c r="C5">
        <v>322</v>
      </c>
      <c r="D5">
        <v>29</v>
      </c>
      <c r="E5">
        <v>4</v>
      </c>
      <c r="F5">
        <v>13</v>
      </c>
      <c r="G5">
        <v>1</v>
      </c>
      <c r="H5">
        <v>12</v>
      </c>
      <c r="I5">
        <v>1970</v>
      </c>
      <c r="J5">
        <v>58</v>
      </c>
      <c r="K5">
        <v>1.2</v>
      </c>
      <c r="L5">
        <v>0.6</v>
      </c>
      <c r="M5">
        <v>0</v>
      </c>
      <c r="N5">
        <v>20</v>
      </c>
      <c r="O5">
        <v>0</v>
      </c>
    </row>
    <row r="6" spans="1:15" x14ac:dyDescent="0.2">
      <c r="A6" t="s">
        <v>89</v>
      </c>
      <c r="B6" t="s">
        <v>25</v>
      </c>
      <c r="C6">
        <v>93</v>
      </c>
      <c r="D6">
        <v>0.28999999999999998</v>
      </c>
      <c r="E6">
        <v>0.74</v>
      </c>
      <c r="F6">
        <v>4.62</v>
      </c>
      <c r="G6">
        <v>15.8</v>
      </c>
      <c r="H6">
        <v>4</v>
      </c>
      <c r="I6">
        <v>326</v>
      </c>
      <c r="J6">
        <v>28</v>
      </c>
      <c r="K6">
        <v>0.4</v>
      </c>
      <c r="L6">
        <v>0.20899999999999999</v>
      </c>
      <c r="M6">
        <v>0</v>
      </c>
      <c r="N6">
        <v>12.3</v>
      </c>
      <c r="O6">
        <v>0</v>
      </c>
    </row>
    <row r="7" spans="1:15" x14ac:dyDescent="0.2">
      <c r="A7" t="s">
        <v>87</v>
      </c>
      <c r="B7" t="s">
        <v>25</v>
      </c>
      <c r="C7">
        <v>63</v>
      </c>
      <c r="D7">
        <v>0.41</v>
      </c>
      <c r="E7">
        <v>1.4</v>
      </c>
      <c r="F7">
        <v>4.3</v>
      </c>
      <c r="G7">
        <v>7</v>
      </c>
      <c r="H7">
        <v>2</v>
      </c>
      <c r="I7">
        <v>322</v>
      </c>
      <c r="J7">
        <v>24</v>
      </c>
      <c r="K7">
        <v>1.54</v>
      </c>
      <c r="L7">
        <v>6.6000000000000003E-2</v>
      </c>
      <c r="M7">
        <v>0</v>
      </c>
      <c r="N7">
        <v>181</v>
      </c>
      <c r="O7">
        <v>0</v>
      </c>
    </row>
    <row r="8" spans="1:15" x14ac:dyDescent="0.2">
      <c r="A8" t="s">
        <v>41</v>
      </c>
      <c r="B8" t="s">
        <v>25</v>
      </c>
      <c r="C8">
        <v>34</v>
      </c>
      <c r="D8">
        <v>0.37</v>
      </c>
      <c r="E8">
        <v>2.82</v>
      </c>
      <c r="F8">
        <v>2.6</v>
      </c>
      <c r="G8">
        <v>1.7</v>
      </c>
      <c r="H8">
        <v>33</v>
      </c>
      <c r="I8">
        <v>316</v>
      </c>
      <c r="J8">
        <v>21</v>
      </c>
      <c r="K8">
        <v>0.73</v>
      </c>
      <c r="L8">
        <v>0.17499999999999999</v>
      </c>
      <c r="M8">
        <v>0</v>
      </c>
      <c r="N8">
        <v>89.2</v>
      </c>
      <c r="O8">
        <v>0</v>
      </c>
    </row>
    <row r="9" spans="1:15" x14ac:dyDescent="0.2">
      <c r="A9" t="s">
        <v>70</v>
      </c>
      <c r="B9" t="s">
        <v>25</v>
      </c>
      <c r="C9">
        <v>43</v>
      </c>
      <c r="D9">
        <v>0.3</v>
      </c>
      <c r="E9">
        <v>3.38</v>
      </c>
      <c r="F9">
        <v>3.8</v>
      </c>
      <c r="G9">
        <v>2.2000000000000002</v>
      </c>
      <c r="H9">
        <v>25</v>
      </c>
      <c r="I9">
        <v>389</v>
      </c>
      <c r="J9">
        <v>23</v>
      </c>
      <c r="K9">
        <v>1.4</v>
      </c>
      <c r="L9">
        <v>0.219</v>
      </c>
      <c r="M9">
        <v>0</v>
      </c>
      <c r="N9">
        <v>85</v>
      </c>
      <c r="O9">
        <v>0</v>
      </c>
    </row>
    <row r="10" spans="1:15" x14ac:dyDescent="0.2">
      <c r="A10" t="s">
        <v>64</v>
      </c>
      <c r="B10" t="s">
        <v>25</v>
      </c>
      <c r="C10">
        <v>45</v>
      </c>
      <c r="D10">
        <v>0.1</v>
      </c>
      <c r="E10">
        <v>1</v>
      </c>
      <c r="F10" s="26">
        <v>2</v>
      </c>
      <c r="G10" s="26">
        <v>2.2000000000000002</v>
      </c>
      <c r="H10" s="26">
        <v>4</v>
      </c>
      <c r="I10" s="26">
        <v>352</v>
      </c>
      <c r="J10" s="26">
        <v>34</v>
      </c>
      <c r="K10" s="26">
        <v>0.7</v>
      </c>
      <c r="L10" s="26">
        <v>0.154</v>
      </c>
      <c r="M10" s="26">
        <v>0</v>
      </c>
      <c r="N10" s="26">
        <v>21</v>
      </c>
      <c r="O10" s="26">
        <v>0</v>
      </c>
    </row>
    <row r="11" spans="1:15" x14ac:dyDescent="0.2">
      <c r="A11" t="s">
        <v>58</v>
      </c>
      <c r="B11" t="s">
        <v>25</v>
      </c>
      <c r="C11">
        <v>25</v>
      </c>
      <c r="D11">
        <v>0.1</v>
      </c>
      <c r="E11">
        <v>1.28</v>
      </c>
      <c r="F11">
        <v>2.5</v>
      </c>
      <c r="G11">
        <v>3.2</v>
      </c>
      <c r="H11">
        <v>18</v>
      </c>
      <c r="I11">
        <v>170</v>
      </c>
      <c r="J11">
        <v>12</v>
      </c>
      <c r="K11">
        <v>0.47</v>
      </c>
      <c r="L11">
        <v>0.124</v>
      </c>
      <c r="M11">
        <v>0</v>
      </c>
      <c r="N11">
        <v>36.6</v>
      </c>
      <c r="O11">
        <v>0</v>
      </c>
    </row>
    <row r="12" spans="1:15" x14ac:dyDescent="0.2">
      <c r="A12" t="s">
        <v>92</v>
      </c>
      <c r="B12" t="s">
        <v>25</v>
      </c>
      <c r="C12">
        <v>553</v>
      </c>
      <c r="D12">
        <v>38.9</v>
      </c>
      <c r="E12">
        <v>17.399999999999999</v>
      </c>
      <c r="F12">
        <v>4.0999999999999996</v>
      </c>
      <c r="G12">
        <v>36.299999999999997</v>
      </c>
      <c r="H12">
        <v>5</v>
      </c>
      <c r="I12">
        <v>638</v>
      </c>
      <c r="J12">
        <v>251</v>
      </c>
      <c r="K12">
        <v>5.99</v>
      </c>
      <c r="L12">
        <v>0.41699999999999998</v>
      </c>
      <c r="M12">
        <v>0</v>
      </c>
      <c r="N12">
        <v>0.5</v>
      </c>
      <c r="O12">
        <v>0</v>
      </c>
    </row>
    <row r="13" spans="1:15" x14ac:dyDescent="0.2">
      <c r="A13" t="s">
        <v>40</v>
      </c>
      <c r="B13" t="s">
        <v>25</v>
      </c>
      <c r="C13">
        <v>25</v>
      </c>
      <c r="D13">
        <v>0.28000000000000003</v>
      </c>
      <c r="E13">
        <v>1.92</v>
      </c>
      <c r="F13">
        <v>2</v>
      </c>
      <c r="G13">
        <v>1.91</v>
      </c>
      <c r="H13">
        <v>30</v>
      </c>
      <c r="I13">
        <v>299</v>
      </c>
      <c r="J13">
        <v>15</v>
      </c>
      <c r="K13">
        <v>0.42</v>
      </c>
      <c r="L13">
        <v>0.184</v>
      </c>
      <c r="M13">
        <v>0</v>
      </c>
      <c r="N13">
        <v>48.2</v>
      </c>
      <c r="O13">
        <v>0</v>
      </c>
    </row>
    <row r="14" spans="1:15" x14ac:dyDescent="0.2">
      <c r="A14" t="s">
        <v>20</v>
      </c>
      <c r="B14" t="s">
        <v>21</v>
      </c>
      <c r="C14">
        <v>756</v>
      </c>
      <c r="D14">
        <v>12</v>
      </c>
      <c r="E14">
        <v>41</v>
      </c>
      <c r="F14">
        <v>24.4</v>
      </c>
      <c r="G14">
        <v>21.4</v>
      </c>
      <c r="H14">
        <v>48</v>
      </c>
      <c r="I14">
        <v>1440</v>
      </c>
      <c r="J14">
        <v>158</v>
      </c>
      <c r="K14">
        <v>8.6199999999999992</v>
      </c>
      <c r="L14">
        <v>1.07</v>
      </c>
      <c r="M14">
        <v>0</v>
      </c>
      <c r="N14">
        <v>8</v>
      </c>
      <c r="O14">
        <v>0</v>
      </c>
    </row>
    <row r="15" spans="1:15" x14ac:dyDescent="0.2">
      <c r="A15" t="s">
        <v>73</v>
      </c>
      <c r="B15" t="s">
        <v>72</v>
      </c>
      <c r="C15">
        <v>552</v>
      </c>
      <c r="D15">
        <v>57.1</v>
      </c>
      <c r="E15">
        <v>5.5</v>
      </c>
      <c r="F15">
        <v>5.28</v>
      </c>
      <c r="G15">
        <v>7.7759999999999998</v>
      </c>
      <c r="H15">
        <v>36</v>
      </c>
      <c r="I15">
        <v>631</v>
      </c>
      <c r="J15">
        <v>88.8</v>
      </c>
      <c r="K15">
        <v>3.94</v>
      </c>
      <c r="L15">
        <v>7.9000000000000001E-2</v>
      </c>
      <c r="M15">
        <v>0</v>
      </c>
      <c r="N15">
        <v>6.72</v>
      </c>
      <c r="O15">
        <v>0</v>
      </c>
    </row>
    <row r="16" spans="1:15" x14ac:dyDescent="0.2">
      <c r="A16" t="s">
        <v>80</v>
      </c>
      <c r="B16" t="s">
        <v>81</v>
      </c>
      <c r="C16">
        <v>132.80000000000001</v>
      </c>
      <c r="D16">
        <v>1.64</v>
      </c>
      <c r="E16">
        <v>4.3</v>
      </c>
      <c r="F16">
        <v>3.3</v>
      </c>
      <c r="G16">
        <v>5.74</v>
      </c>
      <c r="H16">
        <v>350.96</v>
      </c>
      <c r="I16">
        <v>319.8</v>
      </c>
      <c r="J16">
        <v>32.799999999999997</v>
      </c>
      <c r="K16">
        <v>1.41</v>
      </c>
      <c r="L16">
        <v>0.08</v>
      </c>
      <c r="M16">
        <v>0</v>
      </c>
      <c r="N16">
        <v>13.94</v>
      </c>
      <c r="O16">
        <v>0</v>
      </c>
    </row>
    <row r="17" spans="1:15" x14ac:dyDescent="0.2">
      <c r="A17" t="s">
        <v>71</v>
      </c>
      <c r="B17" t="s">
        <v>25</v>
      </c>
      <c r="C17">
        <v>98</v>
      </c>
      <c r="D17">
        <v>4.3</v>
      </c>
      <c r="E17">
        <v>11</v>
      </c>
      <c r="F17">
        <v>0</v>
      </c>
      <c r="G17">
        <v>2.67</v>
      </c>
      <c r="H17">
        <v>315</v>
      </c>
      <c r="I17">
        <v>104</v>
      </c>
      <c r="J17">
        <v>8</v>
      </c>
      <c r="K17">
        <v>7.0000000000000007E-2</v>
      </c>
      <c r="L17">
        <v>0.05</v>
      </c>
      <c r="M17">
        <v>0</v>
      </c>
      <c r="N17">
        <v>0</v>
      </c>
      <c r="O17" s="1">
        <v>1E-4</v>
      </c>
    </row>
    <row r="18" spans="1:15" x14ac:dyDescent="0.2">
      <c r="A18" t="s">
        <v>54</v>
      </c>
      <c r="B18" t="s">
        <v>38</v>
      </c>
      <c r="C18">
        <v>66</v>
      </c>
      <c r="D18">
        <v>0.04</v>
      </c>
      <c r="E18">
        <v>0.43</v>
      </c>
      <c r="F18">
        <v>1.61</v>
      </c>
      <c r="G18">
        <v>16</v>
      </c>
      <c r="H18">
        <v>0.24</v>
      </c>
      <c r="I18">
        <v>167</v>
      </c>
      <c r="J18">
        <v>13</v>
      </c>
      <c r="K18">
        <v>0.22</v>
      </c>
      <c r="L18">
        <v>0.06</v>
      </c>
      <c r="M18">
        <v>0</v>
      </c>
      <c r="N18">
        <v>0</v>
      </c>
      <c r="O18">
        <v>0</v>
      </c>
    </row>
    <row r="19" spans="1:15" x14ac:dyDescent="0.2">
      <c r="A19" t="s">
        <v>84</v>
      </c>
      <c r="B19" t="s">
        <v>25</v>
      </c>
      <c r="C19">
        <v>25</v>
      </c>
      <c r="D19">
        <v>0.18</v>
      </c>
      <c r="E19">
        <v>0.98</v>
      </c>
      <c r="F19">
        <v>3</v>
      </c>
      <c r="G19">
        <v>3.53</v>
      </c>
      <c r="H19">
        <v>2</v>
      </c>
      <c r="I19">
        <v>229</v>
      </c>
      <c r="J19">
        <v>14</v>
      </c>
      <c r="K19">
        <v>0.23</v>
      </c>
      <c r="L19">
        <v>8.4000000000000005E-2</v>
      </c>
      <c r="M19">
        <v>0</v>
      </c>
      <c r="N19">
        <v>2.2000000000000002</v>
      </c>
      <c r="O19">
        <v>0</v>
      </c>
    </row>
    <row r="20" spans="1:15" x14ac:dyDescent="0.2">
      <c r="A20" t="s">
        <v>23</v>
      </c>
      <c r="B20" t="s">
        <v>26</v>
      </c>
      <c r="C20">
        <v>77.5</v>
      </c>
      <c r="D20">
        <v>5.3</v>
      </c>
      <c r="E20">
        <v>6.3</v>
      </c>
      <c r="F20">
        <v>0</v>
      </c>
      <c r="G20">
        <v>0.56000000000000005</v>
      </c>
      <c r="H20">
        <v>62</v>
      </c>
      <c r="I20">
        <v>63</v>
      </c>
      <c r="J20">
        <v>5</v>
      </c>
      <c r="K20">
        <v>0.59</v>
      </c>
      <c r="L20">
        <v>0.06</v>
      </c>
      <c r="M20" s="1">
        <v>5.5000000000000003E-4</v>
      </c>
      <c r="N20">
        <v>0</v>
      </c>
      <c r="O20" s="1">
        <v>1.1000000000000001E-3</v>
      </c>
    </row>
    <row r="21" spans="1:15" x14ac:dyDescent="0.2">
      <c r="A21" t="s">
        <v>66</v>
      </c>
      <c r="B21" t="s">
        <v>67</v>
      </c>
      <c r="C21">
        <v>51.7</v>
      </c>
      <c r="D21">
        <v>0.17199999999999999</v>
      </c>
      <c r="E21">
        <v>0.94699999999999995</v>
      </c>
      <c r="F21">
        <v>1.97</v>
      </c>
      <c r="G21">
        <v>8.48</v>
      </c>
      <c r="H21">
        <v>0</v>
      </c>
      <c r="I21">
        <v>166</v>
      </c>
      <c r="J21">
        <v>11.1</v>
      </c>
      <c r="K21">
        <v>9.8000000000000004E-2</v>
      </c>
      <c r="L21">
        <v>6.5000000000000002E-2</v>
      </c>
      <c r="M21">
        <v>0</v>
      </c>
      <c r="N21">
        <v>38.4</v>
      </c>
      <c r="O21">
        <v>0</v>
      </c>
    </row>
    <row r="22" spans="1:15" x14ac:dyDescent="0.2">
      <c r="A22" t="s">
        <v>39</v>
      </c>
      <c r="B22" t="s">
        <v>25</v>
      </c>
      <c r="C22">
        <v>31</v>
      </c>
      <c r="D22">
        <v>0.12</v>
      </c>
      <c r="E22">
        <v>1.8</v>
      </c>
      <c r="F22">
        <v>3.4</v>
      </c>
      <c r="G22">
        <v>3.27</v>
      </c>
      <c r="H22">
        <v>6</v>
      </c>
      <c r="I22">
        <v>209</v>
      </c>
      <c r="J22">
        <v>25</v>
      </c>
      <c r="K22">
        <v>1.04</v>
      </c>
      <c r="L22">
        <v>7.3999999999999996E-2</v>
      </c>
      <c r="M22">
        <v>0</v>
      </c>
      <c r="N22">
        <v>16.3</v>
      </c>
      <c r="O22">
        <v>0</v>
      </c>
    </row>
    <row r="23" spans="1:15" x14ac:dyDescent="0.2">
      <c r="A23" t="s">
        <v>3</v>
      </c>
      <c r="B23" t="s">
        <v>4</v>
      </c>
      <c r="C23">
        <v>678</v>
      </c>
      <c r="D23">
        <v>2</v>
      </c>
      <c r="E23">
        <v>47</v>
      </c>
      <c r="F23">
        <v>20.5</v>
      </c>
      <c r="G23">
        <v>3.9</v>
      </c>
      <c r="H23">
        <v>11.5</v>
      </c>
      <c r="I23">
        <v>1833.6</v>
      </c>
      <c r="J23">
        <v>90.2</v>
      </c>
      <c r="K23">
        <v>12.5</v>
      </c>
      <c r="L23">
        <v>1.04</v>
      </c>
      <c r="M23">
        <v>0</v>
      </c>
      <c r="N23">
        <v>8.64</v>
      </c>
      <c r="O23">
        <v>0</v>
      </c>
    </row>
    <row r="24" spans="1:15" x14ac:dyDescent="0.2">
      <c r="A24" t="s">
        <v>91</v>
      </c>
      <c r="B24" t="s">
        <v>95</v>
      </c>
      <c r="C24">
        <v>848</v>
      </c>
      <c r="D24">
        <v>82</v>
      </c>
      <c r="E24">
        <v>20.2</v>
      </c>
      <c r="F24">
        <v>13.1</v>
      </c>
      <c r="G24">
        <v>5.86</v>
      </c>
      <c r="H24">
        <v>0</v>
      </c>
      <c r="I24">
        <v>918</v>
      </c>
      <c r="J24">
        <v>220</v>
      </c>
      <c r="K24">
        <v>6.34</v>
      </c>
      <c r="L24">
        <v>0.76</v>
      </c>
      <c r="M24">
        <v>0</v>
      </c>
      <c r="N24">
        <v>8.5</v>
      </c>
      <c r="O24">
        <v>0</v>
      </c>
    </row>
    <row r="25" spans="1:15" x14ac:dyDescent="0.2">
      <c r="A25" t="s">
        <v>82</v>
      </c>
      <c r="B25" t="s">
        <v>25</v>
      </c>
      <c r="C25">
        <v>170</v>
      </c>
      <c r="D25">
        <v>8</v>
      </c>
      <c r="E25">
        <v>15.78</v>
      </c>
      <c r="F25">
        <v>0</v>
      </c>
      <c r="G25">
        <v>15</v>
      </c>
      <c r="H25">
        <v>350</v>
      </c>
      <c r="I25">
        <v>400</v>
      </c>
      <c r="J25">
        <v>0</v>
      </c>
      <c r="K25">
        <v>0.1</v>
      </c>
      <c r="L25">
        <v>8.7999999999999995E-2</v>
      </c>
      <c r="M25" s="29">
        <v>0</v>
      </c>
      <c r="N25">
        <v>0</v>
      </c>
      <c r="O25" s="1">
        <v>2.0000000000000001E-4</v>
      </c>
    </row>
    <row r="26" spans="1:15" x14ac:dyDescent="0.2">
      <c r="A26" t="s">
        <v>42</v>
      </c>
      <c r="B26" t="s">
        <v>25</v>
      </c>
      <c r="C26">
        <v>61</v>
      </c>
      <c r="D26">
        <v>0.3</v>
      </c>
      <c r="E26">
        <v>1.5</v>
      </c>
      <c r="F26">
        <v>1.8</v>
      </c>
      <c r="G26">
        <v>3.9</v>
      </c>
      <c r="H26">
        <v>20</v>
      </c>
      <c r="I26">
        <v>180</v>
      </c>
      <c r="J26">
        <v>28</v>
      </c>
      <c r="K26">
        <v>2.1</v>
      </c>
      <c r="L26">
        <v>0.23300000000000001</v>
      </c>
      <c r="M26">
        <v>0</v>
      </c>
      <c r="N26">
        <v>12</v>
      </c>
      <c r="O26">
        <v>0</v>
      </c>
    </row>
    <row r="27" spans="1:15" x14ac:dyDescent="0.2">
      <c r="A27" t="s">
        <v>90</v>
      </c>
      <c r="B27" t="s">
        <v>25</v>
      </c>
      <c r="C27">
        <v>60</v>
      </c>
      <c r="D27">
        <v>0.38</v>
      </c>
      <c r="E27">
        <v>0.82</v>
      </c>
      <c r="F27">
        <v>1.6</v>
      </c>
      <c r="G27">
        <v>13.66</v>
      </c>
      <c r="H27">
        <v>1</v>
      </c>
      <c r="I27">
        <v>168</v>
      </c>
      <c r="J27">
        <v>10</v>
      </c>
      <c r="K27">
        <v>0.16</v>
      </c>
      <c r="L27">
        <v>0.11899999999999999</v>
      </c>
      <c r="M27">
        <v>0</v>
      </c>
      <c r="N27">
        <v>36.4</v>
      </c>
      <c r="O27">
        <v>0</v>
      </c>
    </row>
    <row r="28" spans="1:15" x14ac:dyDescent="0.2">
      <c r="A28" t="s">
        <v>96</v>
      </c>
      <c r="B28" t="s">
        <v>25</v>
      </c>
      <c r="C28">
        <v>30</v>
      </c>
      <c r="D28">
        <v>0.2</v>
      </c>
      <c r="E28">
        <v>3.09</v>
      </c>
      <c r="F28">
        <v>1.8</v>
      </c>
      <c r="G28">
        <v>4.01</v>
      </c>
      <c r="H28">
        <v>5</v>
      </c>
      <c r="I28">
        <v>380</v>
      </c>
      <c r="J28">
        <v>10.199999999999999</v>
      </c>
      <c r="K28">
        <v>0.31</v>
      </c>
      <c r="L28">
        <v>0.112</v>
      </c>
      <c r="M28">
        <v>0</v>
      </c>
      <c r="N28">
        <v>0</v>
      </c>
      <c r="O28">
        <v>0</v>
      </c>
    </row>
    <row r="29" spans="1:15" x14ac:dyDescent="0.2">
      <c r="A29" t="s">
        <v>68</v>
      </c>
      <c r="B29" t="s">
        <v>69</v>
      </c>
      <c r="C29">
        <v>636</v>
      </c>
      <c r="D29">
        <v>5.3</v>
      </c>
      <c r="E29">
        <v>84.8</v>
      </c>
      <c r="F29">
        <v>31.8</v>
      </c>
      <c r="G29">
        <v>0</v>
      </c>
      <c r="H29">
        <v>319.06</v>
      </c>
      <c r="I29">
        <v>3625.2</v>
      </c>
      <c r="J29">
        <v>0</v>
      </c>
      <c r="K29">
        <v>10.176</v>
      </c>
      <c r="L29">
        <v>127.2</v>
      </c>
      <c r="M29">
        <v>0.254</v>
      </c>
      <c r="N29">
        <v>0</v>
      </c>
      <c r="O29">
        <v>0</v>
      </c>
    </row>
    <row r="30" spans="1:15" x14ac:dyDescent="0.2">
      <c r="A30" t="s">
        <v>94</v>
      </c>
      <c r="B30" t="s">
        <v>25</v>
      </c>
      <c r="C30">
        <v>380</v>
      </c>
      <c r="D30">
        <v>5.89</v>
      </c>
      <c r="E30">
        <v>13.5</v>
      </c>
      <c r="F30">
        <v>10.4</v>
      </c>
      <c r="G30">
        <v>53.8</v>
      </c>
      <c r="H30">
        <v>1</v>
      </c>
      <c r="I30">
        <v>350</v>
      </c>
      <c r="J30">
        <v>126</v>
      </c>
      <c r="K30">
        <v>4.34</v>
      </c>
      <c r="L30">
        <v>0.13500000000000001</v>
      </c>
      <c r="M30">
        <v>0</v>
      </c>
      <c r="N30">
        <v>0</v>
      </c>
      <c r="O30">
        <v>0</v>
      </c>
    </row>
    <row r="31" spans="1:15" x14ac:dyDescent="0.2">
      <c r="A31" t="s">
        <v>59</v>
      </c>
      <c r="B31" t="s">
        <v>60</v>
      </c>
      <c r="C31">
        <v>60</v>
      </c>
      <c r="D31">
        <v>0.15</v>
      </c>
      <c r="E31">
        <v>1.65</v>
      </c>
      <c r="F31">
        <v>2.5499999999999998</v>
      </c>
      <c r="G31">
        <v>6.36</v>
      </c>
      <c r="H31">
        <v>6</v>
      </c>
      <c r="I31">
        <v>219</v>
      </c>
      <c r="J31">
        <v>15</v>
      </c>
      <c r="K31">
        <v>0.315</v>
      </c>
      <c r="L31">
        <v>0.18</v>
      </c>
      <c r="M31">
        <v>0</v>
      </c>
      <c r="N31">
        <v>11.1</v>
      </c>
      <c r="O31">
        <v>0</v>
      </c>
    </row>
    <row r="32" spans="1:15" x14ac:dyDescent="0.2">
      <c r="A32" t="s">
        <v>86</v>
      </c>
      <c r="B32" t="s">
        <v>25</v>
      </c>
      <c r="C32">
        <v>52</v>
      </c>
      <c r="D32">
        <v>0.65</v>
      </c>
      <c r="E32">
        <v>1.2</v>
      </c>
      <c r="F32">
        <v>6.5</v>
      </c>
      <c r="G32">
        <v>4.42</v>
      </c>
      <c r="H32">
        <v>1</v>
      </c>
      <c r="I32">
        <v>151</v>
      </c>
      <c r="J32">
        <v>22</v>
      </c>
      <c r="K32">
        <v>0.69</v>
      </c>
      <c r="L32">
        <v>5.5E-2</v>
      </c>
      <c r="M32">
        <v>0</v>
      </c>
      <c r="N32">
        <v>26.2</v>
      </c>
      <c r="O32">
        <v>0</v>
      </c>
    </row>
    <row r="33" spans="1:15" x14ac:dyDescent="0.2">
      <c r="A33" t="s">
        <v>61</v>
      </c>
      <c r="B33" t="s">
        <v>62</v>
      </c>
      <c r="C33">
        <v>675</v>
      </c>
      <c r="D33">
        <v>1.22</v>
      </c>
      <c r="E33">
        <v>13.2</v>
      </c>
      <c r="F33" s="26">
        <v>2.4</v>
      </c>
      <c r="G33" s="26">
        <v>0.222</v>
      </c>
      <c r="H33" s="26">
        <v>9.25</v>
      </c>
      <c r="I33" s="26">
        <v>213</v>
      </c>
      <c r="J33" s="26">
        <v>46.2</v>
      </c>
      <c r="K33" s="26">
        <v>1.48</v>
      </c>
      <c r="L33" s="26">
        <v>0.30299999999999999</v>
      </c>
      <c r="M33" s="26">
        <v>0</v>
      </c>
      <c r="N33" s="26">
        <v>0</v>
      </c>
      <c r="O33" s="26">
        <v>0</v>
      </c>
    </row>
    <row r="34" spans="1:15" x14ac:dyDescent="0.2">
      <c r="A34" t="s">
        <v>88</v>
      </c>
      <c r="B34" t="s">
        <v>25</v>
      </c>
      <c r="C34">
        <v>35</v>
      </c>
      <c r="D34">
        <v>0.22</v>
      </c>
      <c r="E34">
        <v>0.64</v>
      </c>
      <c r="F34">
        <v>3.1</v>
      </c>
      <c r="G34">
        <v>4.8600000000000003</v>
      </c>
      <c r="H34">
        <v>2</v>
      </c>
      <c r="I34">
        <v>161</v>
      </c>
      <c r="J34">
        <v>12.5</v>
      </c>
      <c r="K34">
        <v>0.26</v>
      </c>
      <c r="L34">
        <v>0</v>
      </c>
      <c r="M34">
        <v>0</v>
      </c>
      <c r="N34">
        <v>59.6</v>
      </c>
      <c r="O34">
        <v>0</v>
      </c>
    </row>
    <row r="35" spans="1:15" x14ac:dyDescent="0.2">
      <c r="A35" t="s">
        <v>83</v>
      </c>
      <c r="B35" t="s">
        <v>25</v>
      </c>
      <c r="C35">
        <v>78</v>
      </c>
      <c r="D35">
        <v>0.38</v>
      </c>
      <c r="E35">
        <v>1.58</v>
      </c>
      <c r="F35">
        <v>4.4400000000000004</v>
      </c>
      <c r="G35">
        <v>6.06</v>
      </c>
      <c r="H35">
        <v>2.5</v>
      </c>
      <c r="I35">
        <v>486</v>
      </c>
      <c r="J35">
        <v>19.100000000000001</v>
      </c>
      <c r="K35">
        <v>0.4</v>
      </c>
      <c r="L35">
        <v>1.1240000000000001</v>
      </c>
      <c r="M35">
        <v>0</v>
      </c>
      <c r="N35">
        <v>14.8</v>
      </c>
      <c r="O35">
        <v>0</v>
      </c>
    </row>
    <row r="36" spans="1:15" x14ac:dyDescent="0.2">
      <c r="A36" t="s">
        <v>43</v>
      </c>
      <c r="B36" t="s">
        <v>45</v>
      </c>
      <c r="C36">
        <v>89.2</v>
      </c>
      <c r="D36">
        <v>8.07</v>
      </c>
      <c r="E36">
        <v>2.5499999999999998</v>
      </c>
      <c r="F36">
        <v>1.4</v>
      </c>
      <c r="G36">
        <v>7.2999999999999995E-2</v>
      </c>
      <c r="H36">
        <v>17.2</v>
      </c>
      <c r="I36">
        <v>62.1</v>
      </c>
      <c r="J36">
        <v>14.2</v>
      </c>
      <c r="K36">
        <v>1.34</v>
      </c>
      <c r="L36">
        <v>0.22</v>
      </c>
      <c r="M36">
        <v>0</v>
      </c>
      <c r="N36">
        <v>0</v>
      </c>
      <c r="O36">
        <v>0</v>
      </c>
    </row>
    <row r="37" spans="1:15" x14ac:dyDescent="0.2">
      <c r="A37" t="s">
        <v>63</v>
      </c>
      <c r="B37" t="s">
        <v>25</v>
      </c>
      <c r="C37">
        <v>22</v>
      </c>
      <c r="D37">
        <v>0.42</v>
      </c>
      <c r="E37">
        <v>0.7</v>
      </c>
      <c r="F37">
        <v>1</v>
      </c>
      <c r="G37">
        <v>2.6</v>
      </c>
      <c r="H37">
        <v>2.5</v>
      </c>
      <c r="I37">
        <v>193</v>
      </c>
      <c r="J37">
        <v>8.1</v>
      </c>
      <c r="K37">
        <v>0.1</v>
      </c>
      <c r="L37">
        <v>7.9000000000000001E-2</v>
      </c>
      <c r="M37">
        <v>0</v>
      </c>
      <c r="N37">
        <v>17.8</v>
      </c>
      <c r="O37">
        <v>0</v>
      </c>
    </row>
    <row r="38" spans="1:15" x14ac:dyDescent="0.2">
      <c r="A38" t="s">
        <v>65</v>
      </c>
      <c r="B38" t="s">
        <v>4</v>
      </c>
      <c r="C38">
        <v>651</v>
      </c>
      <c r="D38">
        <v>4.74</v>
      </c>
      <c r="E38">
        <v>26.3</v>
      </c>
      <c r="F38">
        <v>20.7</v>
      </c>
      <c r="G38">
        <v>137</v>
      </c>
      <c r="H38">
        <v>3.84</v>
      </c>
      <c r="I38">
        <v>828</v>
      </c>
      <c r="J38">
        <v>276</v>
      </c>
      <c r="K38">
        <v>6.76</v>
      </c>
      <c r="L38">
        <v>0.8</v>
      </c>
      <c r="M38">
        <v>0</v>
      </c>
      <c r="N38">
        <v>0</v>
      </c>
      <c r="O38">
        <v>0</v>
      </c>
    </row>
    <row r="39" spans="1:15" x14ac:dyDescent="0.2">
      <c r="A39" t="s">
        <v>85</v>
      </c>
      <c r="B39" t="s">
        <v>25</v>
      </c>
      <c r="C39">
        <v>17</v>
      </c>
      <c r="D39">
        <v>0.32</v>
      </c>
      <c r="E39">
        <v>1.21</v>
      </c>
      <c r="F39">
        <v>0.8</v>
      </c>
      <c r="G39">
        <v>2.5</v>
      </c>
      <c r="H39">
        <v>8</v>
      </c>
      <c r="I39">
        <v>261</v>
      </c>
      <c r="J39">
        <v>18</v>
      </c>
      <c r="K39">
        <v>0.37</v>
      </c>
      <c r="L39">
        <v>0.16300000000000001</v>
      </c>
      <c r="M39">
        <v>0</v>
      </c>
      <c r="N39">
        <v>17.899999999999999</v>
      </c>
      <c r="O39">
        <v>0</v>
      </c>
    </row>
  </sheetData>
  <mergeCells count="3">
    <mergeCell ref="L1:O1"/>
    <mergeCell ref="F1:G1"/>
    <mergeCell ref="H1:K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35C4E-12BC-481B-9540-88566CAA8FA6}">
  <sheetPr codeName="Sheet3"/>
  <dimension ref="A1:Q18"/>
  <sheetViews>
    <sheetView workbookViewId="0">
      <selection activeCell="D16" sqref="D16"/>
    </sheetView>
  </sheetViews>
  <sheetFormatPr defaultRowHeight="15" x14ac:dyDescent="0.2"/>
  <cols>
    <col min="1" max="1" width="12.23828125" bestFit="1" customWidth="1"/>
    <col min="2" max="2" width="17.3515625" bestFit="1" customWidth="1"/>
    <col min="3" max="3" width="25.9609375" bestFit="1" customWidth="1"/>
    <col min="4" max="4" width="68.875" customWidth="1"/>
    <col min="5" max="5" width="16.6796875" bestFit="1" customWidth="1"/>
    <col min="6" max="6" width="25.15234375" customWidth="1"/>
    <col min="7" max="7" width="10.22265625" bestFit="1" customWidth="1"/>
    <col min="8" max="8" width="10.76171875" bestFit="1" customWidth="1"/>
    <col min="9" max="9" width="11.43359375" bestFit="1" customWidth="1"/>
    <col min="10" max="10" width="13.5859375" bestFit="1" customWidth="1"/>
    <col min="11" max="11" width="14.390625" bestFit="1" customWidth="1"/>
    <col min="12" max="12" width="8.7421875" bestFit="1" customWidth="1"/>
    <col min="13" max="13" width="7.6640625" bestFit="1" customWidth="1"/>
    <col min="14" max="14" width="8.609375" bestFit="1" customWidth="1"/>
    <col min="15" max="15" width="6.72265625" bestFit="1" customWidth="1"/>
    <col min="16" max="16" width="8.203125" bestFit="1" customWidth="1"/>
    <col min="17" max="17" width="17.890625" bestFit="1" customWidth="1"/>
  </cols>
  <sheetData>
    <row r="1" spans="1:17" ht="15.75" customHeight="1" x14ac:dyDescent="0.2">
      <c r="A1" s="5"/>
      <c r="B1" s="5"/>
      <c r="C1" s="17"/>
      <c r="D1" s="17"/>
      <c r="E1" s="5"/>
      <c r="F1" s="5"/>
      <c r="G1" s="35" t="s">
        <v>28</v>
      </c>
      <c r="H1" s="36"/>
      <c r="I1" s="37" t="s">
        <v>35</v>
      </c>
      <c r="J1" s="37"/>
      <c r="K1" s="37"/>
      <c r="L1" s="36"/>
      <c r="M1" s="35" t="s">
        <v>36</v>
      </c>
      <c r="N1" s="37"/>
      <c r="O1" s="37"/>
      <c r="P1" s="36"/>
      <c r="Q1" s="18"/>
    </row>
    <row r="2" spans="1:17" ht="15.75" customHeight="1" x14ac:dyDescent="0.2">
      <c r="A2" s="13" t="s">
        <v>30</v>
      </c>
      <c r="B2" s="13" t="s">
        <v>34</v>
      </c>
      <c r="C2" s="19" t="s">
        <v>29</v>
      </c>
      <c r="D2" s="19" t="s">
        <v>55</v>
      </c>
      <c r="E2" s="13" t="s">
        <v>27</v>
      </c>
      <c r="F2" s="13" t="s">
        <v>56</v>
      </c>
      <c r="G2" s="14" t="s">
        <v>6</v>
      </c>
      <c r="H2" s="15" t="s">
        <v>7</v>
      </c>
      <c r="I2" s="14" t="s">
        <v>5</v>
      </c>
      <c r="J2" s="14" t="s">
        <v>11</v>
      </c>
      <c r="K2" s="14" t="s">
        <v>15</v>
      </c>
      <c r="L2" s="15" t="s">
        <v>12</v>
      </c>
      <c r="M2" s="14" t="s">
        <v>13</v>
      </c>
      <c r="N2" s="14" t="s">
        <v>18</v>
      </c>
      <c r="O2" s="14" t="s">
        <v>14</v>
      </c>
      <c r="P2" s="15" t="s">
        <v>19</v>
      </c>
      <c r="Q2" s="19" t="s">
        <v>37</v>
      </c>
    </row>
    <row r="3" spans="1:17" x14ac:dyDescent="0.2">
      <c r="A3" s="20" t="s">
        <v>31</v>
      </c>
      <c r="B3" s="20" t="s">
        <v>76</v>
      </c>
      <c r="C3" s="20" t="s">
        <v>75</v>
      </c>
      <c r="D3" s="20" t="s">
        <v>78</v>
      </c>
      <c r="E3" s="20">
        <v>60</v>
      </c>
      <c r="F3" s="20">
        <f>0.8</f>
        <v>0.8</v>
      </c>
      <c r="G3" s="20">
        <v>38</v>
      </c>
      <c r="H3" s="20">
        <v>130</v>
      </c>
      <c r="I3" s="20">
        <v>1500</v>
      </c>
      <c r="J3" s="20">
        <v>3400</v>
      </c>
      <c r="K3" s="20">
        <v>420</v>
      </c>
      <c r="L3" s="20">
        <v>8</v>
      </c>
      <c r="M3" s="20">
        <v>1.3</v>
      </c>
      <c r="N3" s="21">
        <v>2.3E-3</v>
      </c>
      <c r="O3" s="20">
        <v>90</v>
      </c>
      <c r="P3" s="21">
        <v>1.4999999999999999E-2</v>
      </c>
      <c r="Q3" s="20">
        <v>3.7</v>
      </c>
    </row>
    <row r="4" spans="1:17" x14ac:dyDescent="0.2">
      <c r="A4" s="20" t="s">
        <v>74</v>
      </c>
      <c r="B4" s="20" t="s">
        <v>76</v>
      </c>
      <c r="C4" s="20" t="s">
        <v>75</v>
      </c>
      <c r="D4" s="20" t="s">
        <v>79</v>
      </c>
      <c r="E4" s="20">
        <v>60</v>
      </c>
      <c r="F4" s="20">
        <f t="shared" ref="F4" si="0">0.8</f>
        <v>0.8</v>
      </c>
      <c r="G4" s="20">
        <v>25</v>
      </c>
      <c r="H4" s="20">
        <v>130</v>
      </c>
      <c r="I4" s="20">
        <v>1500</v>
      </c>
      <c r="J4" s="20">
        <v>2600</v>
      </c>
      <c r="K4" s="20">
        <v>320</v>
      </c>
      <c r="L4" s="20">
        <v>18</v>
      </c>
      <c r="M4" s="20">
        <v>1.3</v>
      </c>
      <c r="N4" s="21">
        <v>2.3E-3</v>
      </c>
      <c r="O4" s="20">
        <v>75</v>
      </c>
      <c r="P4" s="21">
        <v>1.4999999999999999E-2</v>
      </c>
      <c r="Q4" s="20">
        <v>2.7</v>
      </c>
    </row>
    <row r="6" spans="1:17" x14ac:dyDescent="0.2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1"/>
      <c r="O6" s="20"/>
      <c r="P6" s="21"/>
      <c r="Q6" s="20"/>
    </row>
    <row r="7" spans="1:17" x14ac:dyDescent="0.2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1"/>
      <c r="O7" s="20"/>
      <c r="P7" s="21"/>
      <c r="Q7" s="20"/>
    </row>
    <row r="8" spans="1:17" x14ac:dyDescent="0.2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1"/>
      <c r="O8" s="20"/>
      <c r="P8" s="21"/>
      <c r="Q8" s="20"/>
    </row>
    <row r="9" spans="1:17" x14ac:dyDescent="0.2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1"/>
      <c r="O9" s="20"/>
      <c r="P9" s="21"/>
      <c r="Q9" s="20"/>
    </row>
    <row r="10" spans="1:17" x14ac:dyDescent="0.2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1"/>
      <c r="O10" s="20"/>
      <c r="P10" s="21"/>
      <c r="Q10" s="20"/>
    </row>
    <row r="11" spans="1:17" x14ac:dyDescent="0.2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1"/>
      <c r="O11" s="20"/>
      <c r="P11" s="21"/>
      <c r="Q11" s="20"/>
    </row>
    <row r="12" spans="1:17" x14ac:dyDescent="0.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1"/>
      <c r="O12" s="20"/>
      <c r="P12" s="21"/>
      <c r="Q12" s="20"/>
    </row>
    <row r="13" spans="1:17" x14ac:dyDescent="0.2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1"/>
      <c r="O13" s="20"/>
      <c r="P13" s="21"/>
      <c r="Q13" s="20"/>
    </row>
    <row r="14" spans="1:17" x14ac:dyDescent="0.2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1"/>
      <c r="O14" s="20"/>
      <c r="P14" s="21"/>
      <c r="Q14" s="20"/>
    </row>
    <row r="18" spans="10:10" x14ac:dyDescent="0.2">
      <c r="J18" t="s">
        <v>57</v>
      </c>
    </row>
  </sheetData>
  <mergeCells count="3">
    <mergeCell ref="G1:H1"/>
    <mergeCell ref="I1:L1"/>
    <mergeCell ref="M1:P1"/>
  </mergeCells>
  <pageMargins left="0.7" right="0.7" top="0.75" bottom="0.75" header="0.3" footer="0.3"/>
  <ignoredErrors>
    <ignoredError sqref="D3:D4" calculatedColumn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6B515-1BE0-4947-9A28-A0B4494C1300}">
  <sheetPr codeName="Sheet1"/>
  <dimension ref="A1:U357"/>
  <sheetViews>
    <sheetView tabSelected="1" topLeftCell="D1" workbookViewId="0">
      <selection activeCell="C13" sqref="C13"/>
    </sheetView>
  </sheetViews>
  <sheetFormatPr defaultRowHeight="15" x14ac:dyDescent="0.2"/>
  <cols>
    <col min="1" max="1" width="29.19140625" customWidth="1"/>
    <col min="2" max="2" width="9.68359375" customWidth="1"/>
    <col min="3" max="3" width="13.1796875" customWidth="1"/>
    <col min="4" max="4" width="12.23828125" customWidth="1"/>
    <col min="5" max="5" width="12.77734375" customWidth="1"/>
    <col min="6" max="6" width="13.1796875" customWidth="1"/>
    <col min="7" max="7" width="10.89453125" customWidth="1"/>
    <col min="8" max="8" width="10.625" customWidth="1"/>
    <col min="13" max="13" width="12.10546875" customWidth="1"/>
    <col min="14" max="14" width="13.046875" customWidth="1"/>
    <col min="15" max="15" width="12.64453125" customWidth="1"/>
    <col min="19" max="19" width="8.875" customWidth="1"/>
  </cols>
  <sheetData>
    <row r="1" spans="1:21" ht="28.5" customHeight="1" x14ac:dyDescent="0.2">
      <c r="A1" s="36" t="s">
        <v>1</v>
      </c>
      <c r="B1" s="35" t="s">
        <v>46</v>
      </c>
      <c r="C1" s="36"/>
      <c r="D1" s="43" t="s">
        <v>0</v>
      </c>
      <c r="E1" s="43" t="s">
        <v>8</v>
      </c>
      <c r="F1" s="43" t="s">
        <v>9</v>
      </c>
      <c r="G1" s="35" t="s">
        <v>10</v>
      </c>
      <c r="H1" s="37"/>
      <c r="K1" s="23" t="s">
        <v>30</v>
      </c>
      <c r="L1" s="23" t="s">
        <v>53</v>
      </c>
      <c r="M1" s="23" t="s">
        <v>32</v>
      </c>
      <c r="N1" s="23" t="s">
        <v>33</v>
      </c>
      <c r="O1" s="38" t="s">
        <v>77</v>
      </c>
      <c r="P1" s="39"/>
      <c r="Q1" s="40"/>
      <c r="R1" s="27"/>
      <c r="S1" s="30" t="str">
        <f>IF(K2="Male",_xlfn.XLOOKUP("Male",RefTable[Gender],RefTable[Estimated Energy Requirement Formula]),_xlfn.XLOOKUP("Female",RefTable[Gender],RefTable[Estimated Energy Requirement Formula]))</f>
        <v>SUM(661.8,PRODUCT(-9.53,age),PRODUCT(539.6,PRODUCT(height,0.01)),PRODUCT(15.91,weight))</v>
      </c>
      <c r="T1" s="28"/>
      <c r="U1" s="28"/>
    </row>
    <row r="2" spans="1:21" x14ac:dyDescent="0.2">
      <c r="A2" s="36"/>
      <c r="B2" s="2" t="s">
        <v>48</v>
      </c>
      <c r="C2" s="3" t="s">
        <v>47</v>
      </c>
      <c r="D2" s="43"/>
      <c r="E2" s="43"/>
      <c r="F2" s="43"/>
      <c r="G2" s="2" t="s">
        <v>6</v>
      </c>
      <c r="H2" s="2" t="s">
        <v>7</v>
      </c>
      <c r="K2" s="25" t="s">
        <v>31</v>
      </c>
      <c r="L2" s="24">
        <v>42</v>
      </c>
      <c r="M2" s="24">
        <v>175</v>
      </c>
      <c r="N2" s="24">
        <v>65</v>
      </c>
      <c r="O2" s="41" t="e" cm="1" vm="1">
        <f t="array" ref="O2">Result</f>
        <v>#NAME?</v>
      </c>
      <c r="P2" s="41"/>
      <c r="Q2" s="42"/>
      <c r="S2" s="31" t="str">
        <f>_xlfn.CONCAT("=",TRIM(SUBSTITUTE(SUBSTITUTE(SUBSTITUTE(S1,"age",L2),"height",M2),"weight",N2)))</f>
        <v>=SUM(661.8,PRODUCT(-9.53,42),PRODUCT(539.6,PRODUCT(175,0.01)),PRODUCT(15.91,65))</v>
      </c>
      <c r="T2" s="28"/>
      <c r="U2" s="28"/>
    </row>
    <row r="3" spans="1:21" x14ac:dyDescent="0.2">
      <c r="A3" t="s">
        <v>54</v>
      </c>
      <c r="B3">
        <f>IF(A3&lt;&gt;"",1,"")</f>
        <v>1</v>
      </c>
      <c r="C3" s="6" t="str">
        <f>IF(Sheet3!A3&lt;&gt;"",_xlfn.XLOOKUP(Sheet3!A3,FoodTable[Food],FoodTable[Per Unit],"Not Found",,2),"")</f>
        <v>1 pitted (25g)</v>
      </c>
      <c r="D3" cm="1">
        <f t="array" ref="D3">IF(Sheet3!A3&lt;&gt;"",_xlfn.XLOOKUP(Sheet3!A3,FoodTable[Food],FoodTable[Calories (kcal)]*Sheet3!B3,"Not Found",,2),"")</f>
        <v>66</v>
      </c>
      <c r="E3" cm="1">
        <f t="array" ref="E3">IF(Sheet3!A3&lt;&gt;"",_xlfn.XLOOKUP(Sheet3!A3,FoodTable[Food],FoodTable[Fats (g)]*B3,"Not Found",,2),"")</f>
        <v>0.04</v>
      </c>
      <c r="F3" cm="1">
        <f t="array" ref="F3">IF(Sheet3!A3&lt;&gt;"",_xlfn.XLOOKUP(Sheet3!A3,FoodTable[Food],FoodTable[Proteins (g)]*B3,"Not Found",,2),"")</f>
        <v>0.43</v>
      </c>
      <c r="G3" cm="1">
        <f t="array" ref="G3">IF(Sheet3!A3&lt;&gt;"",_xlfn.XLOOKUP(Sheet3!A3,FoodTable[Food],FoodTable[Fibers]*B3,"Not Found",,2),"")</f>
        <v>1.61</v>
      </c>
      <c r="H3" cm="1">
        <f t="array" ref="H3">IF(Sheet3!A3&lt;&gt;"",_xlfn.XLOOKUP(Sheet3!A3,FoodTable[Food],FoodTable[Sugars]*B3,"Not Found",,2),"")</f>
        <v>16</v>
      </c>
      <c r="K3" s="22"/>
      <c r="L3" s="22"/>
      <c r="M3" s="22"/>
      <c r="N3" s="22"/>
      <c r="O3" s="22"/>
      <c r="P3" s="22"/>
      <c r="Q3" s="22"/>
    </row>
    <row r="4" spans="1:21" ht="18" customHeight="1" x14ac:dyDescent="0.2">
      <c r="B4" t="str">
        <f>IF(A4&lt;&gt;"",1,"")</f>
        <v/>
      </c>
      <c r="C4" s="6" t="str">
        <f>IF(Sheet3!A4&lt;&gt;"",_xlfn.XLOOKUP(Sheet3!A4,FoodTable[Food],FoodTable[Per Unit],"Not Found",,2),"")</f>
        <v/>
      </c>
      <c r="D4" t="str" cm="1">
        <f t="array" ref="D4">IF(Sheet3!A4&lt;&gt;"",_xlfn.XLOOKUP(Sheet3!A4,FoodTable[Food],FoodTable[Calories (kcal)]*Sheet3!B4,"Not Found",,2),"")</f>
        <v/>
      </c>
      <c r="E4" t="str" cm="1">
        <f t="array" ref="E4">IF(Sheet3!A4&lt;&gt;"",_xlfn.XLOOKUP(Sheet3!A4,FoodTable[Food],FoodTable[Fats (g)]*B4,"Not Found",,2),"")</f>
        <v/>
      </c>
      <c r="F4" t="str" cm="1">
        <f t="array" ref="F4">IF(Sheet3!A4&lt;&gt;"",_xlfn.XLOOKUP(Sheet3!A4,FoodTable[Food],FoodTable[Proteins (g)]*B4,"Not Found",,2),"")</f>
        <v/>
      </c>
      <c r="G4" t="str" cm="1">
        <f t="array" ref="G4">IF(Sheet3!A4&lt;&gt;"",_xlfn.XLOOKUP(Sheet3!A4,FoodTable[Food],FoodTable[Fibers]*B4,"Not Found",,2),"")</f>
        <v/>
      </c>
      <c r="H4" t="str" cm="1">
        <f t="array" ref="H4">IF(Sheet3!A4&lt;&gt;"",_xlfn.XLOOKUP(Sheet3!A4,FoodTable[Food],FoodTable[Sugars]*B4,"Not Found",,2),"")</f>
        <v/>
      </c>
      <c r="I4" s="5"/>
      <c r="K4" s="46" t="s">
        <v>49</v>
      </c>
      <c r="L4" s="47"/>
      <c r="M4" s="43" t="s">
        <v>0</v>
      </c>
      <c r="N4" s="43" t="s">
        <v>8</v>
      </c>
      <c r="O4" s="43" t="s">
        <v>9</v>
      </c>
      <c r="P4" s="35" t="s">
        <v>10</v>
      </c>
      <c r="Q4" s="36"/>
    </row>
    <row r="5" spans="1:21" ht="15" customHeight="1" x14ac:dyDescent="0.2">
      <c r="B5" t="str">
        <f>IF(A5&lt;&gt;"",1,"")</f>
        <v/>
      </c>
      <c r="C5" s="6" t="str">
        <f>IF(Sheet3!A5&lt;&gt;"",_xlfn.XLOOKUP(Sheet3!A5,FoodTable[Food],FoodTable[Per Unit],"Not Found",,2),"")</f>
        <v/>
      </c>
      <c r="D5" t="str" cm="1">
        <f t="array" ref="D5">IF(Sheet3!A5&lt;&gt;"",_xlfn.XLOOKUP(Sheet3!A5,FoodTable[Food],FoodTable[Calories (kcal)]*Sheet3!B5,"Not Found",,2),"")</f>
        <v/>
      </c>
      <c r="E5" t="str" cm="1">
        <f t="array" ref="E5">IF(Sheet3!A5&lt;&gt;"",_xlfn.XLOOKUP(Sheet3!A5,FoodTable[Food],FoodTable[Fats (g)]*B5,"Not Found",,2),"")</f>
        <v/>
      </c>
      <c r="F5" t="str" cm="1">
        <f t="array" ref="F5">IF(Sheet3!A5&lt;&gt;"",_xlfn.XLOOKUP(Sheet3!A5,FoodTable[Food],FoodTable[Proteins (g)]*B5,"Not Found",,2),"")</f>
        <v/>
      </c>
      <c r="G5" t="str" cm="1">
        <f t="array" ref="G5">IF(Sheet3!A5&lt;&gt;"",_xlfn.XLOOKUP(Sheet3!A5,FoodTable[Food],FoodTable[Fibers]*B5,"Not Found",,2),"")</f>
        <v/>
      </c>
      <c r="H5" t="str" cm="1">
        <f t="array" ref="H5">IF(Sheet3!A5&lt;&gt;"",_xlfn.XLOOKUP(Sheet3!A5,FoodTable[Food],FoodTable[Sugars]*B5,"Not Found",,2),"")</f>
        <v/>
      </c>
      <c r="I5" s="4"/>
      <c r="K5" s="46"/>
      <c r="L5" s="47"/>
      <c r="M5" s="43"/>
      <c r="N5" s="43"/>
      <c r="O5" s="43"/>
      <c r="P5" s="2" t="s">
        <v>6</v>
      </c>
      <c r="Q5" s="3" t="s">
        <v>7</v>
      </c>
    </row>
    <row r="6" spans="1:21" ht="15.75" customHeight="1" x14ac:dyDescent="0.2">
      <c r="B6" t="str">
        <f>IF(A6&lt;&gt;"",1,"")</f>
        <v/>
      </c>
      <c r="C6" s="6" t="str">
        <f>IF(Sheet3!A6&lt;&gt;"",_xlfn.XLOOKUP(Sheet3!A6,FoodTable[Food],FoodTable[Per Unit],"Not Found",,2),"")</f>
        <v/>
      </c>
      <c r="D6" t="str" cm="1">
        <f t="array" ref="D6">IF(Sheet3!A6&lt;&gt;"",_xlfn.XLOOKUP(Sheet3!A6,FoodTable[Food],FoodTable[Calories (kcal)]*Sheet3!B6,"Not Found",,2),"")</f>
        <v/>
      </c>
      <c r="E6" t="str" cm="1">
        <f t="array" ref="E6">IF(Sheet3!A6&lt;&gt;"",_xlfn.XLOOKUP(Sheet3!A6,FoodTable[Food],FoodTable[Fats (g)]*B6,"Not Found",,2),"")</f>
        <v/>
      </c>
      <c r="F6" t="str" cm="1">
        <f t="array" ref="F6">IF(Sheet3!A6&lt;&gt;"",_xlfn.XLOOKUP(Sheet3!A6,FoodTable[Food],FoodTable[Proteins (g)]*B6,"Not Found",,2),"")</f>
        <v/>
      </c>
      <c r="G6" t="str" cm="1">
        <f t="array" ref="G6">IF(Sheet3!A6&lt;&gt;"",_xlfn.XLOOKUP(Sheet3!A6,FoodTable[Food],FoodTable[Fibers]*B6,"Not Found",,2),"")</f>
        <v/>
      </c>
      <c r="H6" t="str" cm="1">
        <f t="array" ref="H6">IF(Sheet3!A6&lt;&gt;"",_xlfn.XLOOKUP(Sheet3!A6,FoodTable[Food],FoodTable[Sugars]*B6,"Not Found",,2),"")</f>
        <v/>
      </c>
      <c r="K6" s="48" t="s">
        <v>50</v>
      </c>
      <c r="L6" s="49"/>
      <c r="M6" s="10" cm="1">
        <f t="array" ref="M6">_xlfn.REDUCE(0,Sheet3!$D$3:$D$50,_xlfn.LAMBDA(_xlpm.a,_xlpm.b,IF(_xlpm.b&lt;&gt;"",_xlpm.a+_xlpm.b,_xlpm.a)))</f>
        <v>66</v>
      </c>
      <c r="N6" s="10" cm="1">
        <f t="array" ref="N6">_xlfn.REDUCE(0,Sheet3!$E$3:$E$50,_xlfn.LAMBDA(_xlpm.a,_xlpm.b,IF(_xlpm.b&lt;&gt;"",_xlpm.a+_xlpm.b,_xlpm.a)))</f>
        <v>0.04</v>
      </c>
      <c r="O6" s="10" cm="1">
        <f t="array" ref="O6">_xlfn.REDUCE(0,Sheet3!$F$3:$F$50,_xlfn.LAMBDA(_xlpm.a,_xlpm.b,IF(_xlpm.b&lt;&gt;"",_xlpm.a+_xlpm.b,_xlpm.a)))</f>
        <v>0.43</v>
      </c>
      <c r="P6" s="10" cm="1">
        <f t="array" ref="P6">_xlfn.REDUCE(0,Sheet3!$G$3:$G$50,_xlfn.LAMBDA(_xlpm.a,_xlpm.b,IF(_xlpm.b&lt;&gt;"",_xlpm.a+_xlpm.b,_xlpm.a)))</f>
        <v>1.61</v>
      </c>
      <c r="Q6" s="11" cm="1">
        <f t="array" ref="Q6">_xlfn.REDUCE(0,Sheet3!$H$3:$H$50,_xlfn.LAMBDA(_xlpm.a,_xlpm.b,IF(_xlpm.b&lt;&gt;"",_xlpm.a+_xlpm.b,_xlpm.a)))</f>
        <v>16</v>
      </c>
    </row>
    <row r="7" spans="1:21" ht="15" customHeight="1" x14ac:dyDescent="0.2">
      <c r="B7" t="str">
        <f>IF(A7&lt;&gt;"",1,"")</f>
        <v/>
      </c>
      <c r="C7" s="6" t="str">
        <f>IF(Sheet3!A7&lt;&gt;"",_xlfn.XLOOKUP(Sheet3!A7,FoodTable[Food],FoodTable[Per Unit],"Not Found",,2),"")</f>
        <v/>
      </c>
      <c r="D7" t="str" cm="1">
        <f t="array" ref="D7">IF(Sheet3!A7&lt;&gt;"",_xlfn.XLOOKUP(Sheet3!A7,FoodTable[Food],FoodTable[Calories (kcal)]*Sheet3!B7,"Not Found",,2),"")</f>
        <v/>
      </c>
      <c r="E7" t="str" cm="1">
        <f t="array" ref="E7">IF(Sheet3!A7&lt;&gt;"",_xlfn.XLOOKUP(Sheet3!A7,FoodTable[Food],FoodTable[Fats (g)]*B7,"Not Found",,2),"")</f>
        <v/>
      </c>
      <c r="F7" t="str" cm="1">
        <f t="array" ref="F7">IF(Sheet3!A7&lt;&gt;"",_xlfn.XLOOKUP(Sheet3!A7,FoodTable[Food],FoodTable[Proteins (g)]*B7,"Not Found",,2),"")</f>
        <v/>
      </c>
      <c r="G7" t="str" cm="1">
        <f t="array" ref="G7">IF(Sheet3!A7&lt;&gt;"",_xlfn.XLOOKUP(Sheet3!A7,FoodTable[Food],FoodTable[Fibers]*B7,"Not Found",,2),"")</f>
        <v/>
      </c>
      <c r="H7" t="str" cm="1">
        <f t="array" ref="H7">IF(Sheet3!A7&lt;&gt;"",_xlfn.XLOOKUP(Sheet3!A7,FoodTable[Food],FoodTable[Sugars]*B7,"Not Found",,2),"")</f>
        <v/>
      </c>
      <c r="K7" s="44" t="s">
        <v>51</v>
      </c>
      <c r="L7" s="45"/>
      <c r="M7" s="7" t="e" vm="2">
        <f>IF(Sheet3!M6&lt;&gt;"",Sheet3!M6/Sheet3!$O$2*100,"")</f>
        <v>#VALUE!</v>
      </c>
      <c r="N7" s="8">
        <f>IF(Sheet3!N6&lt;&gt;"",Sheet3!N6/Sheet2!E3*100,"")</f>
        <v>6.6666666666666666E-2</v>
      </c>
      <c r="O7" s="8">
        <f>IF(Sheet3!O6&lt;&gt;"",Sheet3!O6/(Sheet2!F3*Sheet3!N2)*100,"")</f>
        <v>0.82692307692307687</v>
      </c>
      <c r="P7" s="8">
        <f>IF(Sheet3!P6&lt;&gt;"",Sheet3!P6/Sheet2!G3*100,"")</f>
        <v>4.2368421052631584</v>
      </c>
      <c r="Q7" s="9">
        <f>IF(Sheet3!Q6&lt;&gt;"",Sheet3!Q6/Sheet2!H3*100,"")</f>
        <v>12.307692307692308</v>
      </c>
    </row>
    <row r="8" spans="1:21" x14ac:dyDescent="0.2">
      <c r="B8" t="str">
        <f>IF(A8&lt;&gt;"",1,"")</f>
        <v/>
      </c>
      <c r="C8" s="6" t="str">
        <f>IF(Sheet3!A8&lt;&gt;"",_xlfn.XLOOKUP(Sheet3!A8,FoodTable[Food],FoodTable[Per Unit],"Not Found",,2),"")</f>
        <v/>
      </c>
      <c r="D8" t="str" cm="1">
        <f t="array" ref="D8">IF(Sheet3!A8&lt;&gt;"",_xlfn.XLOOKUP(Sheet3!A8,FoodTable[Food],FoodTable[Calories (kcal)]*Sheet3!B8,"Not Found",,2),"")</f>
        <v/>
      </c>
      <c r="E8" t="str" cm="1">
        <f t="array" ref="E8">IF(Sheet3!A8&lt;&gt;"",_xlfn.XLOOKUP(Sheet3!A8,FoodTable[Food],FoodTable[Fats (g)]*B8,"Not Found",,2),"")</f>
        <v/>
      </c>
      <c r="F8" t="str" cm="1">
        <f t="array" ref="F8">IF(Sheet3!A8&lt;&gt;"",_xlfn.XLOOKUP(Sheet3!A8,FoodTable[Food],FoodTable[Proteins (g)]*B8,"Not Found",,2),"")</f>
        <v/>
      </c>
      <c r="G8" t="str" cm="1">
        <f t="array" ref="G8">IF(Sheet3!A8&lt;&gt;"",_xlfn.XLOOKUP(Sheet3!A8,FoodTable[Food],FoodTable[Fibers]*B8,"Not Found",,2),"")</f>
        <v/>
      </c>
      <c r="H8" t="str" cm="1">
        <f t="array" ref="H8">IF(Sheet3!A8&lt;&gt;"",_xlfn.XLOOKUP(Sheet3!A8,FoodTable[Food],FoodTable[Sugars]*B8,"Not Found",,2),"")</f>
        <v/>
      </c>
    </row>
    <row r="9" spans="1:21" x14ac:dyDescent="0.2">
      <c r="B9" t="str">
        <f>IF(A9&lt;&gt;"",1,"")</f>
        <v/>
      </c>
      <c r="C9" s="6" t="str">
        <f>IF(Sheet3!A9&lt;&gt;"",_xlfn.XLOOKUP(Sheet3!A9,FoodTable[Food],FoodTable[Per Unit],"Not Found",,2),"")</f>
        <v/>
      </c>
      <c r="D9" t="str" cm="1">
        <f t="array" ref="D9">IF(Sheet3!A9&lt;&gt;"",_xlfn.XLOOKUP(Sheet3!A9,FoodTable[Food],FoodTable[Calories (kcal)]*Sheet3!B9,"Not Found",,2),"")</f>
        <v/>
      </c>
      <c r="E9" t="str" cm="1">
        <f t="array" ref="E9">IF(Sheet3!A9&lt;&gt;"",_xlfn.XLOOKUP(Sheet3!A9,FoodTable[Food],FoodTable[Fats (g)]*B9,"Not Found",,2),"")</f>
        <v/>
      </c>
      <c r="F9" t="str" cm="1">
        <f t="array" ref="F9">IF(Sheet3!A9&lt;&gt;"",_xlfn.XLOOKUP(Sheet3!A9,FoodTable[Food],FoodTable[Proteins (g)]*B9,"Not Found",,2),"")</f>
        <v/>
      </c>
      <c r="G9" t="str" cm="1">
        <f t="array" ref="G9">IF(Sheet3!A9&lt;&gt;"",_xlfn.XLOOKUP(Sheet3!A9,FoodTable[Food],FoodTable[Fibers]*B9,"Not Found",,2),"")</f>
        <v/>
      </c>
      <c r="H9" t="str" cm="1">
        <f t="array" ref="H9">IF(Sheet3!A9&lt;&gt;"",_xlfn.XLOOKUP(Sheet3!A9,FoodTable[Food],FoodTable[Sugars]*B9,"Not Found",,2),"")</f>
        <v/>
      </c>
    </row>
    <row r="10" spans="1:21" x14ac:dyDescent="0.2">
      <c r="B10" t="str">
        <f>IF(A10&lt;&gt;"",1,"")</f>
        <v/>
      </c>
      <c r="C10" s="6" t="str">
        <f>IF(Sheet3!A10&lt;&gt;"",_xlfn.XLOOKUP(Sheet3!A10,FoodTable[Food],FoodTable[Per Unit],"Not Found",,2),"")</f>
        <v/>
      </c>
      <c r="D10" t="str" cm="1">
        <f t="array" ref="D10">IF(Sheet3!A10&lt;&gt;"",_xlfn.XLOOKUP(Sheet3!A10,FoodTable[Food],FoodTable[Calories (kcal)]*Sheet3!B10,"Not Found",,2),"")</f>
        <v/>
      </c>
      <c r="E10" t="str" cm="1">
        <f t="array" ref="E10">IF(Sheet3!A10&lt;&gt;"",_xlfn.XLOOKUP(Sheet3!A10,FoodTable[Food],FoodTable[Fats (g)]*B10,"Not Found",,2),"")</f>
        <v/>
      </c>
      <c r="F10" t="str" cm="1">
        <f t="array" ref="F10">IF(Sheet3!A10&lt;&gt;"",_xlfn.XLOOKUP(Sheet3!A10,FoodTable[Food],FoodTable[Proteins (g)]*B10,"Not Found",,2),"")</f>
        <v/>
      </c>
      <c r="G10" t="str" cm="1">
        <f t="array" ref="G10">IF(Sheet3!A10&lt;&gt;"",_xlfn.XLOOKUP(Sheet3!A10,FoodTable[Food],FoodTable[Fibers]*B10,"Not Found",,2),"")</f>
        <v/>
      </c>
      <c r="H10" t="str" cm="1">
        <f t="array" ref="H10">IF(Sheet3!A10&lt;&gt;"",_xlfn.XLOOKUP(Sheet3!A10,FoodTable[Food],FoodTable[Sugars]*B10,"Not Found",,2),"")</f>
        <v/>
      </c>
    </row>
    <row r="11" spans="1:21" ht="15.75" customHeight="1" x14ac:dyDescent="0.2">
      <c r="B11" t="str">
        <f>IF(A11&lt;&gt;"",1,"")</f>
        <v/>
      </c>
      <c r="C11" s="6" t="str">
        <f>IF(Sheet3!A11&lt;&gt;"",_xlfn.XLOOKUP(Sheet3!A11,FoodTable[Food],FoodTable[Per Unit],"Not Found",,2),"")</f>
        <v/>
      </c>
      <c r="D11" t="str" cm="1">
        <f t="array" ref="D11">IF(Sheet3!A11&lt;&gt;"",_xlfn.XLOOKUP(Sheet3!A11,FoodTable[Food],FoodTable[Calories (kcal)]*Sheet3!B11,"Not Found",,2),"")</f>
        <v/>
      </c>
      <c r="E11" t="str" cm="1">
        <f t="array" ref="E11">IF(Sheet3!A11&lt;&gt;"",_xlfn.XLOOKUP(Sheet3!A11,FoodTable[Food],FoodTable[Fats (g)]*B11,"Not Found",,2),"")</f>
        <v/>
      </c>
      <c r="F11" t="str" cm="1">
        <f t="array" ref="F11">IF(Sheet3!A11&lt;&gt;"",_xlfn.XLOOKUP(Sheet3!A11,FoodTable[Food],FoodTable[Proteins (g)]*B11,"Not Found",,2),"")</f>
        <v/>
      </c>
      <c r="G11" t="str" cm="1">
        <f t="array" ref="G11">IF(Sheet3!A11&lt;&gt;"",_xlfn.XLOOKUP(Sheet3!A11,FoodTable[Food],FoodTable[Fibers]*B11,"Not Found",,2),"")</f>
        <v/>
      </c>
      <c r="H11" t="str" cm="1">
        <f t="array" ref="H11">IF(Sheet3!A11&lt;&gt;"",_xlfn.XLOOKUP(Sheet3!A11,FoodTable[Food],FoodTable[Sugars]*B11,"Not Found",,2),"")</f>
        <v/>
      </c>
    </row>
    <row r="12" spans="1:21" ht="15" customHeight="1" x14ac:dyDescent="0.2">
      <c r="B12" t="str">
        <f>IF(A12&lt;&gt;"",1,"")</f>
        <v/>
      </c>
      <c r="C12" s="6" t="str">
        <f>IF(Sheet3!A12&lt;&gt;"",_xlfn.XLOOKUP(Sheet3!A12,FoodTable[Food],FoodTable[Per Unit],"Not Found",,2),"")</f>
        <v/>
      </c>
      <c r="D12" t="str" cm="1">
        <f t="array" ref="D12">IF(Sheet3!A12&lt;&gt;"",_xlfn.XLOOKUP(Sheet3!A12,FoodTable[Food],FoodTable[Calories (kcal)]*Sheet3!B12,"Not Found",,2),"")</f>
        <v/>
      </c>
      <c r="E12" t="str" cm="1">
        <f t="array" ref="E12">IF(Sheet3!A12&lt;&gt;"",_xlfn.XLOOKUP(Sheet3!A12,FoodTable[Food],FoodTable[Fats (g)]*B12,"Not Found",,2),"")</f>
        <v/>
      </c>
      <c r="F12" t="str" cm="1">
        <f t="array" ref="F12">IF(Sheet3!A12&lt;&gt;"",_xlfn.XLOOKUP(Sheet3!A12,FoodTable[Food],FoodTable[Proteins (g)]*B12,"Not Found",,2),"")</f>
        <v/>
      </c>
      <c r="G12" t="str" cm="1">
        <f t="array" ref="G12">IF(Sheet3!A12&lt;&gt;"",_xlfn.XLOOKUP(Sheet3!A12,FoodTable[Food],FoodTable[Fibers]*B12,"Not Found",,2),"")</f>
        <v/>
      </c>
      <c r="H12" t="str" cm="1">
        <f t="array" ref="H12">IF(Sheet3!A12&lt;&gt;"",_xlfn.XLOOKUP(Sheet3!A12,FoodTable[Food],FoodTable[Sugars]*B12,"Not Found",,2),"")</f>
        <v/>
      </c>
    </row>
    <row r="13" spans="1:21" ht="15" customHeight="1" x14ac:dyDescent="0.2">
      <c r="B13" t="str">
        <f>IF(A13&lt;&gt;"",1,"")</f>
        <v/>
      </c>
      <c r="C13" s="6" t="str">
        <f>IF(Sheet3!A13&lt;&gt;"",_xlfn.XLOOKUP(Sheet3!A13,FoodTable[Food],FoodTable[Per Unit],"Not Found",,2),"")</f>
        <v/>
      </c>
      <c r="D13" t="str" cm="1">
        <f t="array" ref="D13">IF(Sheet3!A13&lt;&gt;"",_xlfn.XLOOKUP(Sheet3!A13,FoodTable[Food],FoodTable[Calories (kcal)]*Sheet3!B13,"Not Found",,2),"")</f>
        <v/>
      </c>
      <c r="E13" t="str" cm="1">
        <f t="array" ref="E13">IF(Sheet3!A13&lt;&gt;"",_xlfn.XLOOKUP(Sheet3!A13,FoodTable[Food],FoodTable[Fats (g)]*B13,"Not Found",,2),"")</f>
        <v/>
      </c>
      <c r="F13" t="str" cm="1">
        <f t="array" ref="F13">IF(Sheet3!A13&lt;&gt;"",_xlfn.XLOOKUP(Sheet3!A13,FoodTable[Food],FoodTable[Proteins (g)]*B13,"Not Found",,2),"")</f>
        <v/>
      </c>
      <c r="G13" t="str" cm="1">
        <f t="array" ref="G13">IF(Sheet3!A13&lt;&gt;"",_xlfn.XLOOKUP(Sheet3!A13,FoodTable[Food],FoodTable[Fibers]*B13,"Not Found",,2),"")</f>
        <v/>
      </c>
      <c r="H13" t="str" cm="1">
        <f t="array" ref="H13">IF(Sheet3!A13&lt;&gt;"",_xlfn.XLOOKUP(Sheet3!A13,FoodTable[Food],FoodTable[Sugars]*B13,"Not Found",,2),"")</f>
        <v/>
      </c>
    </row>
    <row r="14" spans="1:21" x14ac:dyDescent="0.2">
      <c r="B14" t="str">
        <f>IF(A14&lt;&gt;"",1,"")</f>
        <v/>
      </c>
      <c r="C14" s="6" t="str">
        <f>IF(Sheet3!A14&lt;&gt;"",_xlfn.XLOOKUP(Sheet3!A14,FoodTable[Food],FoodTable[Per Unit],"Not Found",,2),"")</f>
        <v/>
      </c>
      <c r="D14" t="str" cm="1">
        <f t="array" ref="D14">IF(Sheet3!A14&lt;&gt;"",_xlfn.XLOOKUP(Sheet3!A14,FoodTable[Food],FoodTable[Calories (kcal)]*Sheet3!B14,"Not Found",,2),"")</f>
        <v/>
      </c>
      <c r="E14" t="str" cm="1">
        <f t="array" ref="E14">IF(Sheet3!A14&lt;&gt;"",_xlfn.XLOOKUP(Sheet3!A14,FoodTable[Food],FoodTable[Fats (g)]*B14,"Not Found",,2),"")</f>
        <v/>
      </c>
      <c r="F14" t="str" cm="1">
        <f t="array" ref="F14">IF(Sheet3!A14&lt;&gt;"",_xlfn.XLOOKUP(Sheet3!A14,FoodTable[Food],FoodTable[Proteins (g)]*B14,"Not Found",,2),"")</f>
        <v/>
      </c>
      <c r="G14" t="str" cm="1">
        <f t="array" ref="G14">IF(Sheet3!A14&lt;&gt;"",_xlfn.XLOOKUP(Sheet3!A14,FoodTable[Food],FoodTable[Fibers]*B14,"Not Found",,2),"")</f>
        <v/>
      </c>
      <c r="H14" t="str" cm="1">
        <f t="array" ref="H14">IF(Sheet3!A14&lt;&gt;"",_xlfn.XLOOKUP(Sheet3!A14,FoodTable[Food],FoodTable[Sugars]*B14,"Not Found",,2),"")</f>
        <v/>
      </c>
    </row>
    <row r="15" spans="1:21" x14ac:dyDescent="0.2">
      <c r="B15" t="str">
        <f>IF(A15&lt;&gt;"",1,"")</f>
        <v/>
      </c>
      <c r="C15" s="6" t="str">
        <f>IF(Sheet3!A15&lt;&gt;"",_xlfn.XLOOKUP(Sheet3!A15,FoodTable[Food],FoodTable[Per Unit],"Not Found",,2),"")</f>
        <v/>
      </c>
      <c r="D15" t="str" cm="1">
        <f t="array" ref="D15">IF(Sheet3!A15&lt;&gt;"",_xlfn.XLOOKUP(Sheet3!A15,FoodTable[Food],FoodTable[Calories (kcal)]*Sheet3!B15,"Not Found",,2),"")</f>
        <v/>
      </c>
      <c r="E15" t="str" cm="1">
        <f t="array" ref="E15">IF(Sheet3!A15&lt;&gt;"",_xlfn.XLOOKUP(Sheet3!A15,FoodTable[Food],FoodTable[Fats (g)]*B15,"Not Found",,2),"")</f>
        <v/>
      </c>
      <c r="F15" t="str" cm="1">
        <f t="array" ref="F15">IF(Sheet3!A15&lt;&gt;"",_xlfn.XLOOKUP(Sheet3!A15,FoodTable[Food],FoodTable[Proteins (g)]*B15,"Not Found",,2),"")</f>
        <v/>
      </c>
      <c r="G15" t="str" cm="1">
        <f t="array" ref="G15">IF(Sheet3!A15&lt;&gt;"",_xlfn.XLOOKUP(Sheet3!A15,FoodTable[Food],FoodTable[Fibers]*B15,"Not Found",,2),"")</f>
        <v/>
      </c>
      <c r="H15" t="str" cm="1">
        <f t="array" ref="H15">IF(Sheet3!A15&lt;&gt;"",_xlfn.XLOOKUP(Sheet3!A15,FoodTable[Food],FoodTable[Sugars]*B15,"Not Found",,2),"")</f>
        <v/>
      </c>
    </row>
    <row r="16" spans="1:21" x14ac:dyDescent="0.2">
      <c r="B16" t="str">
        <f>IF(A16&lt;&gt;"",1,"")</f>
        <v/>
      </c>
      <c r="C16" s="6" t="str">
        <f>IF(Sheet3!A16&lt;&gt;"",_xlfn.XLOOKUP(Sheet3!A16,FoodTable[Food],FoodTable[Per Unit],"Not Found",,2),"")</f>
        <v/>
      </c>
      <c r="D16" t="str" cm="1">
        <f t="array" ref="D16">IF(Sheet3!A16&lt;&gt;"",_xlfn.XLOOKUP(Sheet3!A16,FoodTable[Food],FoodTable[Calories (kcal)]*Sheet3!B16,"Not Found",,2),"")</f>
        <v/>
      </c>
      <c r="E16" t="str" cm="1">
        <f t="array" ref="E16">IF(Sheet3!A16&lt;&gt;"",_xlfn.XLOOKUP(Sheet3!A16,FoodTable[Food],FoodTable[Fats (g)]*B16,"Not Found",,2),"")</f>
        <v/>
      </c>
      <c r="F16" t="str" cm="1">
        <f t="array" ref="F16">IF(Sheet3!A16&lt;&gt;"",_xlfn.XLOOKUP(Sheet3!A16,FoodTable[Food],FoodTable[Proteins (g)]*B16,"Not Found",,2),"")</f>
        <v/>
      </c>
      <c r="G16" t="str" cm="1">
        <f t="array" ref="G16">IF(Sheet3!A16&lt;&gt;"",_xlfn.XLOOKUP(Sheet3!A16,FoodTable[Food],FoodTable[Fibers]*B16,"Not Found",,2),"")</f>
        <v/>
      </c>
      <c r="H16" t="str" cm="1">
        <f t="array" ref="H16">IF(Sheet3!A16&lt;&gt;"",_xlfn.XLOOKUP(Sheet3!A16,FoodTable[Food],FoodTable[Sugars]*B16,"Not Found",,2),"")</f>
        <v/>
      </c>
    </row>
    <row r="17" spans="2:8" x14ac:dyDescent="0.2">
      <c r="B17" t="str">
        <f>IF(A17&lt;&gt;"",1,"")</f>
        <v/>
      </c>
      <c r="C17" s="6" t="str">
        <f>IF(Sheet3!A17&lt;&gt;"",_xlfn.XLOOKUP(Sheet3!A17,FoodTable[Food],FoodTable[Per Unit],"Not Found",,2),"")</f>
        <v/>
      </c>
      <c r="D17" t="str" cm="1">
        <f t="array" ref="D17">IF(Sheet3!A17&lt;&gt;"",_xlfn.XLOOKUP(Sheet3!A17,FoodTable[Food],FoodTable[Calories (kcal)]*Sheet3!B17,"Not Found",,2),"")</f>
        <v/>
      </c>
      <c r="E17" t="str" cm="1">
        <f t="array" ref="E17">IF(Sheet3!A17&lt;&gt;"",_xlfn.XLOOKUP(Sheet3!A17,FoodTable[Food],FoodTable[Fats (g)]*B17,"Not Found",,2),"")</f>
        <v/>
      </c>
      <c r="F17" t="str" cm="1">
        <f t="array" ref="F17">IF(Sheet3!A17&lt;&gt;"",_xlfn.XLOOKUP(Sheet3!A17,FoodTable[Food],FoodTable[Proteins (g)]*B17,"Not Found",,2),"")</f>
        <v/>
      </c>
      <c r="G17" t="str" cm="1">
        <f t="array" ref="G17">IF(Sheet3!A17&lt;&gt;"",_xlfn.XLOOKUP(Sheet3!A17,FoodTable[Food],FoodTable[Fibers]*B17,"Not Found",,2),"")</f>
        <v/>
      </c>
      <c r="H17" t="str" cm="1">
        <f t="array" ref="H17">IF(Sheet3!A17&lt;&gt;"",_xlfn.XLOOKUP(Sheet3!A17,FoodTable[Food],FoodTable[Sugars]*B17,"Not Found",,2),"")</f>
        <v/>
      </c>
    </row>
    <row r="18" spans="2:8" x14ac:dyDescent="0.2">
      <c r="B18" t="str">
        <f>IF(A18&lt;&gt;"",1,"")</f>
        <v/>
      </c>
      <c r="C18" s="6" t="str">
        <f>IF(Sheet3!A18&lt;&gt;"",_xlfn.XLOOKUP(Sheet3!A18,FoodTable[Food],FoodTable[Per Unit],"Not Found",,2),"")</f>
        <v/>
      </c>
      <c r="D18" t="str" cm="1">
        <f t="array" ref="D18">IF(Sheet3!A18&lt;&gt;"",_xlfn.XLOOKUP(Sheet3!A18,FoodTable[Food],FoodTable[Calories (kcal)]*Sheet3!B18,"Not Found",,2),"")</f>
        <v/>
      </c>
      <c r="E18" t="str" cm="1">
        <f t="array" ref="E18">IF(Sheet3!A18&lt;&gt;"",_xlfn.XLOOKUP(Sheet3!A18,FoodTable[Food],FoodTable[Fats (g)]*B18,"Not Found",,2),"")</f>
        <v/>
      </c>
      <c r="F18" t="str" cm="1">
        <f t="array" ref="F18">IF(Sheet3!A18&lt;&gt;"",_xlfn.XLOOKUP(Sheet3!A18,FoodTable[Food],FoodTable[Proteins (g)]*B18,"Not Found",,2),"")</f>
        <v/>
      </c>
      <c r="G18" t="str" cm="1">
        <f t="array" ref="G18">IF(Sheet3!A18&lt;&gt;"",_xlfn.XLOOKUP(Sheet3!A18,FoodTable[Food],FoodTable[Fibers]*B18,"Not Found",,2),"")</f>
        <v/>
      </c>
      <c r="H18" t="str" cm="1">
        <f t="array" ref="H18">IF(Sheet3!A18&lt;&gt;"",_xlfn.XLOOKUP(Sheet3!A18,FoodTable[Food],FoodTable[Sugars]*B18,"Not Found",,2),"")</f>
        <v/>
      </c>
    </row>
    <row r="19" spans="2:8" x14ac:dyDescent="0.2">
      <c r="B19" t="str">
        <f>IF(A19&lt;&gt;"",1,"")</f>
        <v/>
      </c>
      <c r="C19" s="6" t="str">
        <f>IF(Sheet3!A19&lt;&gt;"",_xlfn.XLOOKUP(Sheet3!A19,FoodTable[Food],FoodTable[Per Unit],"Not Found",,2),"")</f>
        <v/>
      </c>
      <c r="D19" t="str" cm="1">
        <f t="array" ref="D19">IF(Sheet3!A19&lt;&gt;"",_xlfn.XLOOKUP(Sheet3!A19,FoodTable[Food],FoodTable[Calories (kcal)]*Sheet3!B19,"Not Found",,2),"")</f>
        <v/>
      </c>
      <c r="E19" t="str" cm="1">
        <f t="array" ref="E19">IF(Sheet3!A19&lt;&gt;"",_xlfn.XLOOKUP(Sheet3!A19,FoodTable[Food],FoodTable[Fats (g)]*B19,"Not Found",,2),"")</f>
        <v/>
      </c>
      <c r="F19" t="str" cm="1">
        <f t="array" ref="F19">IF(Sheet3!A19&lt;&gt;"",_xlfn.XLOOKUP(Sheet3!A19,FoodTable[Food],FoodTable[Proteins (g)]*B19,"Not Found",,2),"")</f>
        <v/>
      </c>
      <c r="G19" t="str" cm="1">
        <f t="array" ref="G19">IF(Sheet3!A19&lt;&gt;"",_xlfn.XLOOKUP(Sheet3!A19,FoodTable[Food],FoodTable[Fibers]*B19,"Not Found",,2),"")</f>
        <v/>
      </c>
      <c r="H19" t="str" cm="1">
        <f t="array" ref="H19">IF(Sheet3!A19&lt;&gt;"",_xlfn.XLOOKUP(Sheet3!A19,FoodTable[Food],FoodTable[Sugars]*B19,"Not Found",,2),"")</f>
        <v/>
      </c>
    </row>
    <row r="20" spans="2:8" x14ac:dyDescent="0.2">
      <c r="B20" t="str">
        <f>IF(A20&lt;&gt;"",1,"")</f>
        <v/>
      </c>
      <c r="C20" s="6" t="str">
        <f>IF(Sheet3!A20&lt;&gt;"",_xlfn.XLOOKUP(Sheet3!A20,FoodTable[Food],FoodTable[Per Unit],"Not Found",,2),"")</f>
        <v/>
      </c>
      <c r="D20" t="str" cm="1">
        <f t="array" ref="D20">IF(Sheet3!A20&lt;&gt;"",_xlfn.XLOOKUP(Sheet3!A20,FoodTable[Food],FoodTable[Calories (kcal)]*Sheet3!B20,"Not Found",,2),"")</f>
        <v/>
      </c>
      <c r="E20" t="str" cm="1">
        <f t="array" ref="E20">IF(Sheet3!A20&lt;&gt;"",_xlfn.XLOOKUP(Sheet3!A20,FoodTable[Food],FoodTable[Fats (g)]*B20,"Not Found",,2),"")</f>
        <v/>
      </c>
      <c r="F20" t="str" cm="1">
        <f t="array" ref="F20">IF(Sheet3!A20&lt;&gt;"",_xlfn.XLOOKUP(Sheet3!A20,FoodTable[Food],FoodTable[Proteins (g)]*B20,"Not Found",,2),"")</f>
        <v/>
      </c>
      <c r="G20" t="str" cm="1">
        <f t="array" ref="G20">IF(Sheet3!A20&lt;&gt;"",_xlfn.XLOOKUP(Sheet3!A20,FoodTable[Food],FoodTable[Fibers]*B20,"Not Found",,2),"")</f>
        <v/>
      </c>
      <c r="H20" t="str" cm="1">
        <f t="array" ref="H20">IF(Sheet3!A20&lt;&gt;"",_xlfn.XLOOKUP(Sheet3!A20,FoodTable[Food],FoodTable[Sugars]*B20,"Not Found",,2),"")</f>
        <v/>
      </c>
    </row>
    <row r="21" spans="2:8" x14ac:dyDescent="0.2">
      <c r="B21" t="str">
        <f>IF(A21&lt;&gt;"",1,"")</f>
        <v/>
      </c>
      <c r="C21" s="6" t="str">
        <f>IF(Sheet3!A21&lt;&gt;"",_xlfn.XLOOKUP(Sheet3!A21,FoodTable[Food],FoodTable[Per Unit],"Not Found",,2),"")</f>
        <v/>
      </c>
      <c r="D21" t="str" cm="1">
        <f t="array" ref="D21">IF(Sheet3!A21&lt;&gt;"",_xlfn.XLOOKUP(Sheet3!A21,FoodTable[Food],FoodTable[Calories (kcal)]*Sheet3!B21,"Not Found",,2),"")</f>
        <v/>
      </c>
      <c r="E21" t="str" cm="1">
        <f t="array" ref="E21">IF(Sheet3!A21&lt;&gt;"",_xlfn.XLOOKUP(Sheet3!A21,FoodTable[Food],FoodTable[Fats (g)]*B21,"Not Found",,2),"")</f>
        <v/>
      </c>
      <c r="F21" t="str" cm="1">
        <f t="array" ref="F21">IF(Sheet3!A21&lt;&gt;"",_xlfn.XLOOKUP(Sheet3!A21,FoodTable[Food],FoodTable[Proteins (g)]*B21,"Not Found",,2),"")</f>
        <v/>
      </c>
      <c r="G21" t="str" cm="1">
        <f t="array" ref="G21">IF(Sheet3!A21&lt;&gt;"",_xlfn.XLOOKUP(Sheet3!A21,FoodTable[Food],FoodTable[Fibers]*B21,"Not Found",,2),"")</f>
        <v/>
      </c>
      <c r="H21" t="str" cm="1">
        <f t="array" ref="H21">IF(Sheet3!A21&lt;&gt;"",_xlfn.XLOOKUP(Sheet3!A21,FoodTable[Food],FoodTable[Sugars]*B21,"Not Found",,2),"")</f>
        <v/>
      </c>
    </row>
    <row r="22" spans="2:8" x14ac:dyDescent="0.2">
      <c r="B22" t="str">
        <f>IF(A22&lt;&gt;"",1,"")</f>
        <v/>
      </c>
      <c r="C22" s="6" t="str">
        <f>IF(Sheet3!A22&lt;&gt;"",_xlfn.XLOOKUP(Sheet3!A22,FoodTable[Food],FoodTable[Per Unit],"Not Found",,2),"")</f>
        <v/>
      </c>
      <c r="D22" t="str" cm="1">
        <f t="array" ref="D22">IF(Sheet3!A22&lt;&gt;"",_xlfn.XLOOKUP(Sheet3!A22,FoodTable[Food],FoodTable[Calories (kcal)]*Sheet3!B22,"Not Found",,2),"")</f>
        <v/>
      </c>
      <c r="E22" t="str" cm="1">
        <f t="array" ref="E22">IF(Sheet3!A22&lt;&gt;"",_xlfn.XLOOKUP(Sheet3!A22,FoodTable[Food],FoodTable[Fats (g)]*B22,"Not Found",,2),"")</f>
        <v/>
      </c>
      <c r="F22" t="str" cm="1">
        <f t="array" ref="F22">IF(Sheet3!A22&lt;&gt;"",_xlfn.XLOOKUP(Sheet3!A22,FoodTable[Food],FoodTable[Proteins (g)]*B22,"Not Found",,2),"")</f>
        <v/>
      </c>
      <c r="G22" t="str" cm="1">
        <f t="array" ref="G22">IF(Sheet3!A22&lt;&gt;"",_xlfn.XLOOKUP(Sheet3!A22,FoodTable[Food],FoodTable[Fibers]*B22,"Not Found",,2),"")</f>
        <v/>
      </c>
      <c r="H22" t="str" cm="1">
        <f t="array" ref="H22">IF(Sheet3!A22&lt;&gt;"",_xlfn.XLOOKUP(Sheet3!A22,FoodTable[Food],FoodTable[Sugars]*B22,"Not Found",,2),"")</f>
        <v/>
      </c>
    </row>
    <row r="23" spans="2:8" x14ac:dyDescent="0.2">
      <c r="B23" t="str">
        <f>IF(A23&lt;&gt;"",1,"")</f>
        <v/>
      </c>
      <c r="C23" s="6" t="str">
        <f>IF(Sheet3!A23&lt;&gt;"",_xlfn.XLOOKUP(Sheet3!A23,FoodTable[Food],FoodTable[Per Unit],"Not Found",,2),"")</f>
        <v/>
      </c>
      <c r="D23" t="str" cm="1">
        <f t="array" ref="D23">IF(Sheet3!A23&lt;&gt;"",_xlfn.XLOOKUP(Sheet3!A23,FoodTable[Food],FoodTable[Calories (kcal)]*Sheet3!B23,"Not Found",,2),"")</f>
        <v/>
      </c>
      <c r="E23" t="str" cm="1">
        <f t="array" ref="E23">IF(Sheet3!A23&lt;&gt;"",_xlfn.XLOOKUP(Sheet3!A23,FoodTable[Food],FoodTable[Fats (g)]*B23,"Not Found",,2),"")</f>
        <v/>
      </c>
      <c r="F23" t="str" cm="1">
        <f t="array" ref="F23">IF(Sheet3!A23&lt;&gt;"",_xlfn.XLOOKUP(Sheet3!A23,FoodTable[Food],FoodTable[Proteins (g)]*B23,"Not Found",,2),"")</f>
        <v/>
      </c>
      <c r="G23" t="str" cm="1">
        <f t="array" ref="G23">IF(Sheet3!A23&lt;&gt;"",_xlfn.XLOOKUP(Sheet3!A23,FoodTable[Food],FoodTable[Fibers]*B23,"Not Found",,2),"")</f>
        <v/>
      </c>
      <c r="H23" t="str" cm="1">
        <f t="array" ref="H23">IF(Sheet3!A23&lt;&gt;"",_xlfn.XLOOKUP(Sheet3!A23,FoodTable[Food],FoodTable[Sugars]*B23,"Not Found",,2),"")</f>
        <v/>
      </c>
    </row>
    <row r="24" spans="2:8" x14ac:dyDescent="0.2">
      <c r="B24" t="str">
        <f>IF(A24&lt;&gt;"",1,"")</f>
        <v/>
      </c>
      <c r="C24" s="6" t="str">
        <f>IF(Sheet3!A24&lt;&gt;"",_xlfn.XLOOKUP(Sheet3!A24,FoodTable[Food],FoodTable[Per Unit],"Not Found",,2),"")</f>
        <v/>
      </c>
      <c r="D24" t="str" cm="1">
        <f t="array" ref="D24">IF(Sheet3!A24&lt;&gt;"",_xlfn.XLOOKUP(Sheet3!A24,FoodTable[Food],FoodTable[Calories (kcal)]*Sheet3!B24,"Not Found",,2),"")</f>
        <v/>
      </c>
      <c r="E24" t="str" cm="1">
        <f t="array" ref="E24">IF(Sheet3!A24&lt;&gt;"",_xlfn.XLOOKUP(Sheet3!A24,FoodTable[Food],FoodTable[Fats (g)]*B24,"Not Found",,2),"")</f>
        <v/>
      </c>
      <c r="F24" t="str" cm="1">
        <f t="array" ref="F24">IF(Sheet3!A24&lt;&gt;"",_xlfn.XLOOKUP(Sheet3!A24,FoodTable[Food],FoodTable[Proteins (g)]*B24,"Not Found",,2),"")</f>
        <v/>
      </c>
      <c r="G24" t="str" cm="1">
        <f t="array" ref="G24">IF(Sheet3!A24&lt;&gt;"",_xlfn.XLOOKUP(Sheet3!A24,FoodTable[Food],FoodTable[Fibers]*B24,"Not Found",,2),"")</f>
        <v/>
      </c>
      <c r="H24" t="str" cm="1">
        <f t="array" ref="H24">IF(Sheet3!A24&lt;&gt;"",_xlfn.XLOOKUP(Sheet3!A24,FoodTable[Food],FoodTable[Sugars]*B24,"Not Found",,2),"")</f>
        <v/>
      </c>
    </row>
    <row r="25" spans="2:8" x14ac:dyDescent="0.2">
      <c r="B25" t="str">
        <f>IF(A25&lt;&gt;"",1,"")</f>
        <v/>
      </c>
      <c r="C25" s="6" t="str">
        <f>IF(Sheet3!A25&lt;&gt;"",_xlfn.XLOOKUP(Sheet3!A25,FoodTable[Food],FoodTable[Per Unit],"Not Found",,2),"")</f>
        <v/>
      </c>
      <c r="D25" t="str" cm="1">
        <f t="array" ref="D25">IF(Sheet3!A25&lt;&gt;"",_xlfn.XLOOKUP(Sheet3!A25,FoodTable[Food],FoodTable[Calories (kcal)]*Sheet3!B25,"Not Found",,2),"")</f>
        <v/>
      </c>
      <c r="E25" t="str" cm="1">
        <f t="array" ref="E25">IF(Sheet3!A25&lt;&gt;"",_xlfn.XLOOKUP(Sheet3!A25,FoodTable[Food],FoodTable[Fats (g)]*B25,"Not Found",,2),"")</f>
        <v/>
      </c>
      <c r="F25" t="str" cm="1">
        <f t="array" ref="F25">IF(Sheet3!A25&lt;&gt;"",_xlfn.XLOOKUP(Sheet3!A25,FoodTable[Food],FoodTable[Proteins (g)]*B25,"Not Found",,2),"")</f>
        <v/>
      </c>
      <c r="G25" t="str" cm="1">
        <f t="array" ref="G25">IF(Sheet3!A25&lt;&gt;"",_xlfn.XLOOKUP(Sheet3!A25,FoodTable[Food],FoodTable[Fibers]*B25,"Not Found",,2),"")</f>
        <v/>
      </c>
      <c r="H25" t="str" cm="1">
        <f t="array" ref="H25">IF(Sheet3!A25&lt;&gt;"",_xlfn.XLOOKUP(Sheet3!A25,FoodTable[Food],FoodTable[Sugars]*B25,"Not Found",,2),"")</f>
        <v/>
      </c>
    </row>
    <row r="26" spans="2:8" x14ac:dyDescent="0.2">
      <c r="B26" t="str">
        <f>IF(A26&lt;&gt;"",1,"")</f>
        <v/>
      </c>
      <c r="C26" s="6" t="str">
        <f>IF(Sheet3!A26&lt;&gt;"",_xlfn.XLOOKUP(Sheet3!A26,FoodTable[Food],FoodTable[Per Unit],"Not Found",,2),"")</f>
        <v/>
      </c>
      <c r="D26" t="str" cm="1">
        <f t="array" ref="D26">IF(Sheet3!A26&lt;&gt;"",_xlfn.XLOOKUP(Sheet3!A26,FoodTable[Food],FoodTable[Calories (kcal)]*Sheet3!B26,"Not Found",,2),"")</f>
        <v/>
      </c>
      <c r="E26" t="str" cm="1">
        <f t="array" ref="E26">IF(Sheet3!A26&lt;&gt;"",_xlfn.XLOOKUP(Sheet3!A26,FoodTable[Food],FoodTable[Fats (g)]*B26,"Not Found",,2),"")</f>
        <v/>
      </c>
      <c r="F26" t="str" cm="1">
        <f t="array" ref="F26">IF(Sheet3!A26&lt;&gt;"",_xlfn.XLOOKUP(Sheet3!A26,FoodTable[Food],FoodTable[Proteins (g)]*B26,"Not Found",,2),"")</f>
        <v/>
      </c>
      <c r="G26" t="str" cm="1">
        <f t="array" ref="G26">IF(Sheet3!A26&lt;&gt;"",_xlfn.XLOOKUP(Sheet3!A26,FoodTable[Food],FoodTable[Fibers]*B26,"Not Found",,2),"")</f>
        <v/>
      </c>
      <c r="H26" t="str" cm="1">
        <f t="array" ref="H26">IF(Sheet3!A26&lt;&gt;"",_xlfn.XLOOKUP(Sheet3!A26,FoodTable[Food],FoodTable[Sugars]*B26,"Not Found",,2),"")</f>
        <v/>
      </c>
    </row>
    <row r="27" spans="2:8" x14ac:dyDescent="0.2">
      <c r="B27" t="str">
        <f>IF(A27&lt;&gt;"",1,"")</f>
        <v/>
      </c>
      <c r="C27" s="6" t="str">
        <f>IF(Sheet3!A27&lt;&gt;"",_xlfn.XLOOKUP(Sheet3!A27,FoodTable[Food],FoodTable[Per Unit],"Not Found",,2),"")</f>
        <v/>
      </c>
      <c r="D27" t="str" cm="1">
        <f t="array" ref="D27">IF(Sheet3!A27&lt;&gt;"",_xlfn.XLOOKUP(Sheet3!A27,FoodTable[Food],FoodTable[Calories (kcal)]*Sheet3!B27,"Not Found",,2),"")</f>
        <v/>
      </c>
      <c r="E27" t="str" cm="1">
        <f t="array" ref="E27">IF(Sheet3!A27&lt;&gt;"",_xlfn.XLOOKUP(Sheet3!A27,FoodTable[Food],FoodTable[Fats (g)]*B27,"Not Found",,2),"")</f>
        <v/>
      </c>
      <c r="F27" t="str" cm="1">
        <f t="array" ref="F27">IF(Sheet3!A27&lt;&gt;"",_xlfn.XLOOKUP(Sheet3!A27,FoodTable[Food],FoodTable[Proteins (g)]*B27,"Not Found",,2),"")</f>
        <v/>
      </c>
      <c r="G27" t="str" cm="1">
        <f t="array" ref="G27">IF(Sheet3!A27&lt;&gt;"",_xlfn.XLOOKUP(Sheet3!A27,FoodTable[Food],FoodTable[Fibers]*B27,"Not Found",,2),"")</f>
        <v/>
      </c>
      <c r="H27" t="str" cm="1">
        <f t="array" ref="H27">IF(Sheet3!A27&lt;&gt;"",_xlfn.XLOOKUP(Sheet3!A27,FoodTable[Food],FoodTable[Sugars]*B27,"Not Found",,2),"")</f>
        <v/>
      </c>
    </row>
    <row r="28" spans="2:8" x14ac:dyDescent="0.2">
      <c r="B28" t="str">
        <f>IF(A28&lt;&gt;"",1,"")</f>
        <v/>
      </c>
      <c r="C28" s="6" t="str">
        <f>IF(Sheet3!A28&lt;&gt;"",_xlfn.XLOOKUP(Sheet3!A28,FoodTable[Food],FoodTable[Per Unit],"Not Found",,2),"")</f>
        <v/>
      </c>
      <c r="D28" t="str" cm="1">
        <f t="array" ref="D28">IF(Sheet3!A28&lt;&gt;"",_xlfn.XLOOKUP(Sheet3!A28,FoodTable[Food],FoodTable[Calories (kcal)]*Sheet3!B28,"Not Found",,2),"")</f>
        <v/>
      </c>
      <c r="E28" t="str" cm="1">
        <f t="array" ref="E28">IF(Sheet3!A28&lt;&gt;"",_xlfn.XLOOKUP(Sheet3!A28,FoodTable[Food],FoodTable[Fats (g)]*B28,"Not Found",,2),"")</f>
        <v/>
      </c>
      <c r="F28" t="str" cm="1">
        <f t="array" ref="F28">IF(Sheet3!A28&lt;&gt;"",_xlfn.XLOOKUP(Sheet3!A28,FoodTable[Food],FoodTable[Proteins (g)]*B28,"Not Found",,2),"")</f>
        <v/>
      </c>
      <c r="G28" t="str" cm="1">
        <f t="array" ref="G28">IF(Sheet3!A28&lt;&gt;"",_xlfn.XLOOKUP(Sheet3!A28,FoodTable[Food],FoodTable[Fibers]*B28,"Not Found",,2),"")</f>
        <v/>
      </c>
      <c r="H28" t="str" cm="1">
        <f t="array" ref="H28">IF(Sheet3!A28&lt;&gt;"",_xlfn.XLOOKUP(Sheet3!A28,FoodTable[Food],FoodTable[Sugars]*B28,"Not Found",,2),"")</f>
        <v/>
      </c>
    </row>
    <row r="29" spans="2:8" x14ac:dyDescent="0.2">
      <c r="B29" t="str">
        <f>IF(A29&lt;&gt;"",1,"")</f>
        <v/>
      </c>
      <c r="C29" s="6" t="str">
        <f>IF(Sheet3!A29&lt;&gt;"",_xlfn.XLOOKUP(Sheet3!A29,FoodTable[Food],FoodTable[Per Unit],"Not Found",,2),"")</f>
        <v/>
      </c>
      <c r="D29" t="str" cm="1">
        <f t="array" ref="D29">IF(Sheet3!A29&lt;&gt;"",_xlfn.XLOOKUP(Sheet3!A29,FoodTable[Food],FoodTable[Calories (kcal)]*Sheet3!B29,"Not Found",,2),"")</f>
        <v/>
      </c>
      <c r="E29" t="str" cm="1">
        <f t="array" ref="E29">IF(Sheet3!A29&lt;&gt;"",_xlfn.XLOOKUP(Sheet3!A29,FoodTable[Food],FoodTable[Fats (g)]*B29,"Not Found",,2),"")</f>
        <v/>
      </c>
      <c r="F29" t="str" cm="1">
        <f t="array" ref="F29">IF(Sheet3!A29&lt;&gt;"",_xlfn.XLOOKUP(Sheet3!A29,FoodTable[Food],FoodTable[Proteins (g)]*B29,"Not Found",,2),"")</f>
        <v/>
      </c>
      <c r="G29" t="str" cm="1">
        <f t="array" ref="G29">IF(Sheet3!A29&lt;&gt;"",_xlfn.XLOOKUP(Sheet3!A29,FoodTable[Food],FoodTable[Fibers]*B29,"Not Found",,2),"")</f>
        <v/>
      </c>
      <c r="H29" t="str" cm="1">
        <f t="array" ref="H29">IF(Sheet3!A29&lt;&gt;"",_xlfn.XLOOKUP(Sheet3!A29,FoodTable[Food],FoodTable[Sugars]*B29,"Not Found",,2),"")</f>
        <v/>
      </c>
    </row>
    <row r="30" spans="2:8" x14ac:dyDescent="0.2">
      <c r="B30" t="str">
        <f>IF(A30&lt;&gt;"",1,"")</f>
        <v/>
      </c>
      <c r="C30" s="6" t="str">
        <f>IF(Sheet3!A30&lt;&gt;"",_xlfn.XLOOKUP(Sheet3!A30,FoodTable[Food],FoodTable[Per Unit],"Not Found",,2),"")</f>
        <v/>
      </c>
      <c r="D30" t="str" cm="1">
        <f t="array" ref="D30">IF(Sheet3!A30&lt;&gt;"",_xlfn.XLOOKUP(Sheet3!A30,FoodTable[Food],FoodTable[Calories (kcal)]*Sheet3!B30,"Not Found",,2),"")</f>
        <v/>
      </c>
      <c r="E30" t="str" cm="1">
        <f t="array" ref="E30">IF(Sheet3!A30&lt;&gt;"",_xlfn.XLOOKUP(Sheet3!A30,FoodTable[Food],FoodTable[Fats (g)]*B30,"Not Found",,2),"")</f>
        <v/>
      </c>
      <c r="F30" t="str" cm="1">
        <f t="array" ref="F30">IF(Sheet3!A30&lt;&gt;"",_xlfn.XLOOKUP(Sheet3!A30,FoodTable[Food],FoodTable[Proteins (g)]*B30,"Not Found",,2),"")</f>
        <v/>
      </c>
      <c r="G30" t="str" cm="1">
        <f t="array" ref="G30">IF(Sheet3!A30&lt;&gt;"",_xlfn.XLOOKUP(Sheet3!A30,FoodTable[Food],FoodTable[Fibers]*B30,"Not Found",,2),"")</f>
        <v/>
      </c>
      <c r="H30" t="str" cm="1">
        <f t="array" ref="H30">IF(Sheet3!A30&lt;&gt;"",_xlfn.XLOOKUP(Sheet3!A30,FoodTable[Food],FoodTable[Sugars]*B30,"Not Found",,2),"")</f>
        <v/>
      </c>
    </row>
    <row r="31" spans="2:8" x14ac:dyDescent="0.2">
      <c r="B31" t="str">
        <f>IF(A31&lt;&gt;"",1,"")</f>
        <v/>
      </c>
      <c r="C31" s="6" t="str">
        <f>IF(Sheet3!A31&lt;&gt;"",_xlfn.XLOOKUP(Sheet3!A31,FoodTable[Food],FoodTable[Per Unit],"Not Found",,2),"")</f>
        <v/>
      </c>
      <c r="D31" t="str" cm="1">
        <f t="array" ref="D31">IF(Sheet3!A31&lt;&gt;"",_xlfn.XLOOKUP(Sheet3!A31,FoodTable[Food],FoodTable[Calories (kcal)]*Sheet3!B31,"Not Found",,2),"")</f>
        <v/>
      </c>
      <c r="E31" t="str" cm="1">
        <f t="array" ref="E31">IF(Sheet3!A31&lt;&gt;"",_xlfn.XLOOKUP(Sheet3!A31,FoodTable[Food],FoodTable[Fats (g)]*B31,"Not Found",,2),"")</f>
        <v/>
      </c>
      <c r="F31" t="str" cm="1">
        <f t="array" ref="F31">IF(Sheet3!A31&lt;&gt;"",_xlfn.XLOOKUP(Sheet3!A31,FoodTable[Food],FoodTable[Proteins (g)]*B31,"Not Found",,2),"")</f>
        <v/>
      </c>
      <c r="G31" t="str" cm="1">
        <f t="array" ref="G31">IF(Sheet3!A31&lt;&gt;"",_xlfn.XLOOKUP(Sheet3!A31,FoodTable[Food],FoodTable[Fibers]*B31,"Not Found",,2),"")</f>
        <v/>
      </c>
      <c r="H31" t="str" cm="1">
        <f t="array" ref="H31">IF(Sheet3!A31&lt;&gt;"",_xlfn.XLOOKUP(Sheet3!A31,FoodTable[Food],FoodTable[Sugars]*B31,"Not Found",,2),"")</f>
        <v/>
      </c>
    </row>
    <row r="32" spans="2:8" x14ac:dyDescent="0.2">
      <c r="B32" t="str">
        <f>IF(A32&lt;&gt;"",1,"")</f>
        <v/>
      </c>
      <c r="C32" s="6" t="str">
        <f>IF(Sheet3!A32&lt;&gt;"",_xlfn.XLOOKUP(Sheet3!A32,FoodTable[Food],FoodTable[Per Unit],"Not Found",,2),"")</f>
        <v/>
      </c>
      <c r="D32" t="str" cm="1">
        <f t="array" ref="D32">IF(Sheet3!A32&lt;&gt;"",_xlfn.XLOOKUP(Sheet3!A32,FoodTable[Food],FoodTable[Calories (kcal)]*Sheet3!B32,"Not Found",,2),"")</f>
        <v/>
      </c>
      <c r="E32" t="str" cm="1">
        <f t="array" ref="E32">IF(Sheet3!A32&lt;&gt;"",_xlfn.XLOOKUP(Sheet3!A32,FoodTable[Food],FoodTable[Fats (g)]*B32,"Not Found",,2),"")</f>
        <v/>
      </c>
      <c r="F32" t="str" cm="1">
        <f t="array" ref="F32">IF(Sheet3!A32&lt;&gt;"",_xlfn.XLOOKUP(Sheet3!A32,FoodTable[Food],FoodTable[Proteins (g)]*B32,"Not Found",,2),"")</f>
        <v/>
      </c>
      <c r="G32" t="str" cm="1">
        <f t="array" ref="G32">IF(Sheet3!A32&lt;&gt;"",_xlfn.XLOOKUP(Sheet3!A32,FoodTable[Food],FoodTable[Fibers]*B32,"Not Found",,2),"")</f>
        <v/>
      </c>
      <c r="H32" t="str" cm="1">
        <f t="array" ref="H32">IF(Sheet3!A32&lt;&gt;"",_xlfn.XLOOKUP(Sheet3!A32,FoodTable[Food],FoodTable[Sugars]*B32,"Not Found",,2),"")</f>
        <v/>
      </c>
    </row>
    <row r="33" spans="2:8" x14ac:dyDescent="0.2">
      <c r="B33" t="str">
        <f>IF(A33&lt;&gt;"",1,"")</f>
        <v/>
      </c>
      <c r="C33" s="6" t="str">
        <f>IF(Sheet3!A33&lt;&gt;"",_xlfn.XLOOKUP(Sheet3!A33,FoodTable[Food],FoodTable[Per Unit],"Not Found",,2),"")</f>
        <v/>
      </c>
      <c r="D33" t="str" cm="1">
        <f t="array" ref="D33">IF(Sheet3!A33&lt;&gt;"",_xlfn.XLOOKUP(Sheet3!A33,FoodTable[Food],FoodTable[Calories (kcal)]*Sheet3!B33,"Not Found",,2),"")</f>
        <v/>
      </c>
      <c r="E33" t="str" cm="1">
        <f t="array" ref="E33">IF(Sheet3!A33&lt;&gt;"",_xlfn.XLOOKUP(Sheet3!A33,FoodTable[Food],FoodTable[Fats (g)]*B33,"Not Found",,2),"")</f>
        <v/>
      </c>
      <c r="F33" t="str" cm="1">
        <f t="array" ref="F33">IF(Sheet3!A33&lt;&gt;"",_xlfn.XLOOKUP(Sheet3!A33,FoodTable[Food],FoodTable[Proteins (g)]*B33,"Not Found",,2),"")</f>
        <v/>
      </c>
      <c r="G33" t="str" cm="1">
        <f t="array" ref="G33">IF(Sheet3!A33&lt;&gt;"",_xlfn.XLOOKUP(Sheet3!A33,FoodTable[Food],FoodTable[Fibers]*B33,"Not Found",,2),"")</f>
        <v/>
      </c>
      <c r="H33" t="str" cm="1">
        <f t="array" ref="H33">IF(Sheet3!A33&lt;&gt;"",_xlfn.XLOOKUP(Sheet3!A33,FoodTable[Food],FoodTable[Sugars]*B33,"Not Found",,2),"")</f>
        <v/>
      </c>
    </row>
    <row r="34" spans="2:8" x14ac:dyDescent="0.2">
      <c r="B34" t="str">
        <f>IF(A34&lt;&gt;"",1,"")</f>
        <v/>
      </c>
      <c r="C34" s="6" t="str">
        <f>IF(Sheet3!A34&lt;&gt;"",_xlfn.XLOOKUP(Sheet3!A34,FoodTable[Food],FoodTable[Per Unit],"Not Found",,2),"")</f>
        <v/>
      </c>
      <c r="D34" t="str" cm="1">
        <f t="array" ref="D34">IF(Sheet3!A34&lt;&gt;"",_xlfn.XLOOKUP(Sheet3!A34,FoodTable[Food],FoodTable[Calories (kcal)]*Sheet3!B34,"Not Found",,2),"")</f>
        <v/>
      </c>
      <c r="E34" t="str" cm="1">
        <f t="array" ref="E34">IF(Sheet3!A34&lt;&gt;"",_xlfn.XLOOKUP(Sheet3!A34,FoodTable[Food],FoodTable[Fats (g)]*B34,"Not Found",,2),"")</f>
        <v/>
      </c>
      <c r="F34" t="str" cm="1">
        <f t="array" ref="F34">IF(Sheet3!A34&lt;&gt;"",_xlfn.XLOOKUP(Sheet3!A34,FoodTable[Food],FoodTable[Proteins (g)]*B34,"Not Found",,2),"")</f>
        <v/>
      </c>
      <c r="G34" t="str" cm="1">
        <f t="array" ref="G34">IF(Sheet3!A34&lt;&gt;"",_xlfn.XLOOKUP(Sheet3!A34,FoodTable[Food],FoodTable[Fibers]*B34,"Not Found",,2),"")</f>
        <v/>
      </c>
      <c r="H34" t="str" cm="1">
        <f t="array" ref="H34">IF(Sheet3!A34&lt;&gt;"",_xlfn.XLOOKUP(Sheet3!A34,FoodTable[Food],FoodTable[Sugars]*B34,"Not Found",,2),"")</f>
        <v/>
      </c>
    </row>
    <row r="35" spans="2:8" x14ac:dyDescent="0.2">
      <c r="B35" t="str">
        <f>IF(A35&lt;&gt;"",1,"")</f>
        <v/>
      </c>
      <c r="C35" s="6" t="str">
        <f>IF(Sheet3!A35&lt;&gt;"",_xlfn.XLOOKUP(Sheet3!A35,FoodTable[Food],FoodTable[Per Unit],"Not Found",,2),"")</f>
        <v/>
      </c>
      <c r="D35" t="str" cm="1">
        <f t="array" ref="D35">IF(Sheet3!A35&lt;&gt;"",_xlfn.XLOOKUP(Sheet3!A35,FoodTable[Food],FoodTable[Calories (kcal)]*Sheet3!B35,"Not Found",,2),"")</f>
        <v/>
      </c>
      <c r="E35" t="str" cm="1">
        <f t="array" ref="E35">IF(Sheet3!A35&lt;&gt;"",_xlfn.XLOOKUP(Sheet3!A35,FoodTable[Food],FoodTable[Fats (g)]*B35,"Not Found",,2),"")</f>
        <v/>
      </c>
      <c r="F35" t="str" cm="1">
        <f t="array" ref="F35">IF(Sheet3!A35&lt;&gt;"",_xlfn.XLOOKUP(Sheet3!A35,FoodTable[Food],FoodTable[Proteins (g)]*B35,"Not Found",,2),"")</f>
        <v/>
      </c>
      <c r="G35" t="str" cm="1">
        <f t="array" ref="G35">IF(Sheet3!A35&lt;&gt;"",_xlfn.XLOOKUP(Sheet3!A35,FoodTable[Food],FoodTable[Fibers]*B35,"Not Found",,2),"")</f>
        <v/>
      </c>
      <c r="H35" t="str" cm="1">
        <f t="array" ref="H35">IF(Sheet3!A35&lt;&gt;"",_xlfn.XLOOKUP(Sheet3!A35,FoodTable[Food],FoodTable[Sugars]*B35,"Not Found",,2),"")</f>
        <v/>
      </c>
    </row>
    <row r="36" spans="2:8" x14ac:dyDescent="0.2">
      <c r="B36" t="str">
        <f>IF(A36&lt;&gt;"",1,"")</f>
        <v/>
      </c>
      <c r="C36" s="6" t="str">
        <f>IF(Sheet3!A36&lt;&gt;"",_xlfn.XLOOKUP(Sheet3!A36,FoodTable[Food],FoodTable[Per Unit],"Not Found",,2),"")</f>
        <v/>
      </c>
      <c r="D36" t="str" cm="1">
        <f t="array" ref="D36">IF(Sheet3!A36&lt;&gt;"",_xlfn.XLOOKUP(Sheet3!A36,FoodTable[Food],FoodTable[Calories (kcal)]*Sheet3!B36,"Not Found",,2),"")</f>
        <v/>
      </c>
      <c r="E36" t="str" cm="1">
        <f t="array" ref="E36">IF(Sheet3!A36&lt;&gt;"",_xlfn.XLOOKUP(Sheet3!A36,FoodTable[Food],FoodTable[Fats (g)]*B36,"Not Found",,2),"")</f>
        <v/>
      </c>
      <c r="F36" t="str" cm="1">
        <f t="array" ref="F36">IF(Sheet3!A36&lt;&gt;"",_xlfn.XLOOKUP(Sheet3!A36,FoodTable[Food],FoodTable[Proteins (g)]*B36,"Not Found",,2),"")</f>
        <v/>
      </c>
      <c r="G36" t="str" cm="1">
        <f t="array" ref="G36">IF(Sheet3!A36&lt;&gt;"",_xlfn.XLOOKUP(Sheet3!A36,FoodTable[Food],FoodTable[Fibers]*B36,"Not Found",,2),"")</f>
        <v/>
      </c>
      <c r="H36" t="str" cm="1">
        <f t="array" ref="H36">IF(Sheet3!A36&lt;&gt;"",_xlfn.XLOOKUP(Sheet3!A36,FoodTable[Food],FoodTable[Sugars]*B36,"Not Found",,2),"")</f>
        <v/>
      </c>
    </row>
    <row r="37" spans="2:8" x14ac:dyDescent="0.2">
      <c r="B37" t="str">
        <f>IF(A37&lt;&gt;"",1,"")</f>
        <v/>
      </c>
      <c r="C37" s="6" t="str">
        <f>IF(Sheet3!A37&lt;&gt;"",_xlfn.XLOOKUP(Sheet3!A37,FoodTable[Food],FoodTable[Per Unit],"Not Found",,2),"")</f>
        <v/>
      </c>
      <c r="D37" t="str" cm="1">
        <f t="array" ref="D37">IF(Sheet3!A37&lt;&gt;"",_xlfn.XLOOKUP(Sheet3!A37,FoodTable[Food],FoodTable[Calories (kcal)]*Sheet3!B37,"Not Found",,2),"")</f>
        <v/>
      </c>
      <c r="E37" t="str" cm="1">
        <f t="array" ref="E37">IF(Sheet3!A37&lt;&gt;"",_xlfn.XLOOKUP(Sheet3!A37,FoodTable[Food],FoodTable[Fats (g)]*B37,"Not Found",,2),"")</f>
        <v/>
      </c>
      <c r="F37" t="str" cm="1">
        <f t="array" ref="F37">IF(Sheet3!A37&lt;&gt;"",_xlfn.XLOOKUP(Sheet3!A37,FoodTable[Food],FoodTable[Proteins (g)]*B37,"Not Found",,2),"")</f>
        <v/>
      </c>
      <c r="G37" t="str" cm="1">
        <f t="array" ref="G37">IF(Sheet3!A37&lt;&gt;"",_xlfn.XLOOKUP(Sheet3!A37,FoodTable[Food],FoodTable[Fibers]*B37,"Not Found",,2),"")</f>
        <v/>
      </c>
      <c r="H37" t="str" cm="1">
        <f t="array" ref="H37">IF(Sheet3!A37&lt;&gt;"",_xlfn.XLOOKUP(Sheet3!A37,FoodTable[Food],FoodTable[Sugars]*B37,"Not Found",,2),"")</f>
        <v/>
      </c>
    </row>
    <row r="38" spans="2:8" x14ac:dyDescent="0.2">
      <c r="B38" t="str">
        <f>IF(A38&lt;&gt;"",1,"")</f>
        <v/>
      </c>
      <c r="C38" s="6" t="str">
        <f>IF(Sheet3!A38&lt;&gt;"",_xlfn.XLOOKUP(Sheet3!A38,FoodTable[Food],FoodTable[Per Unit],"Not Found",,2),"")</f>
        <v/>
      </c>
      <c r="D38" t="str" cm="1">
        <f t="array" ref="D38">IF(Sheet3!A38&lt;&gt;"",_xlfn.XLOOKUP(Sheet3!A38,FoodTable[Food],FoodTable[Calories (kcal)]*Sheet3!B38,"Not Found",,2),"")</f>
        <v/>
      </c>
      <c r="E38" t="str" cm="1">
        <f t="array" ref="E38">IF(Sheet3!A38&lt;&gt;"",_xlfn.XLOOKUP(Sheet3!A38,FoodTable[Food],FoodTable[Fats (g)]*B38,"Not Found",,2),"")</f>
        <v/>
      </c>
      <c r="F38" t="str" cm="1">
        <f t="array" ref="F38">IF(Sheet3!A38&lt;&gt;"",_xlfn.XLOOKUP(Sheet3!A38,FoodTable[Food],FoodTable[Proteins (g)]*B38,"Not Found",,2),"")</f>
        <v/>
      </c>
      <c r="G38" t="str" cm="1">
        <f t="array" ref="G38">IF(Sheet3!A38&lt;&gt;"",_xlfn.XLOOKUP(Sheet3!A38,FoodTable[Food],FoodTable[Fibers]*B38,"Not Found",,2),"")</f>
        <v/>
      </c>
      <c r="H38" t="str" cm="1">
        <f t="array" ref="H38">IF(Sheet3!A38&lt;&gt;"",_xlfn.XLOOKUP(Sheet3!A38,FoodTable[Food],FoodTable[Sugars]*B38,"Not Found",,2),"")</f>
        <v/>
      </c>
    </row>
    <row r="39" spans="2:8" x14ac:dyDescent="0.2">
      <c r="B39" t="str">
        <f>IF(A39&lt;&gt;"",1,"")</f>
        <v/>
      </c>
      <c r="C39" s="6" t="str">
        <f>IF(Sheet3!A39&lt;&gt;"",_xlfn.XLOOKUP(Sheet3!A39,FoodTable[Food],FoodTable[Per Unit],"Not Found",,2),"")</f>
        <v/>
      </c>
      <c r="D39" t="str" cm="1">
        <f t="array" ref="D39">IF(Sheet3!A39&lt;&gt;"",_xlfn.XLOOKUP(Sheet3!A39,FoodTable[Food],FoodTable[Calories (kcal)]*Sheet3!B39,"Not Found",,2),"")</f>
        <v/>
      </c>
      <c r="E39" t="str" cm="1">
        <f t="array" ref="E39">IF(Sheet3!A39&lt;&gt;"",_xlfn.XLOOKUP(Sheet3!A39,FoodTable[Food],FoodTable[Fats (g)]*B39,"Not Found",,2),"")</f>
        <v/>
      </c>
      <c r="F39" t="str" cm="1">
        <f t="array" ref="F39">IF(Sheet3!A39&lt;&gt;"",_xlfn.XLOOKUP(Sheet3!A39,FoodTable[Food],FoodTable[Proteins (g)]*B39,"Not Found",,2),"")</f>
        <v/>
      </c>
      <c r="G39" t="str" cm="1">
        <f t="array" ref="G39">IF(Sheet3!A39&lt;&gt;"",_xlfn.XLOOKUP(Sheet3!A39,FoodTable[Food],FoodTable[Fibers]*B39,"Not Found",,2),"")</f>
        <v/>
      </c>
      <c r="H39" t="str" cm="1">
        <f t="array" ref="H39">IF(Sheet3!A39&lt;&gt;"",_xlfn.XLOOKUP(Sheet3!A39,FoodTable[Food],FoodTable[Sugars]*B39,"Not Found",,2),"")</f>
        <v/>
      </c>
    </row>
    <row r="40" spans="2:8" x14ac:dyDescent="0.2">
      <c r="B40" t="str">
        <f>IF(A40&lt;&gt;"",1,"")</f>
        <v/>
      </c>
      <c r="C40" s="6" t="str">
        <f>IF(Sheet3!A40&lt;&gt;"",_xlfn.XLOOKUP(Sheet3!A40,FoodTable[Food],FoodTable[Per Unit],"Not Found",,2),"")</f>
        <v/>
      </c>
      <c r="D40" t="str" cm="1">
        <f t="array" ref="D40">IF(Sheet3!A40&lt;&gt;"",_xlfn.XLOOKUP(Sheet3!A40,FoodTable[Food],FoodTable[Calories (kcal)]*Sheet3!B40,"Not Found",,2),"")</f>
        <v/>
      </c>
      <c r="E40" t="str" cm="1">
        <f t="array" ref="E40">IF(Sheet3!A40&lt;&gt;"",_xlfn.XLOOKUP(Sheet3!A40,FoodTable[Food],FoodTable[Fats (g)]*B40,"Not Found",,2),"")</f>
        <v/>
      </c>
      <c r="F40" t="str" cm="1">
        <f t="array" ref="F40">IF(Sheet3!A40&lt;&gt;"",_xlfn.XLOOKUP(Sheet3!A40,FoodTable[Food],FoodTable[Proteins (g)]*B40,"Not Found",,2),"")</f>
        <v/>
      </c>
      <c r="G40" t="str" cm="1">
        <f t="array" ref="G40">IF(Sheet3!A40&lt;&gt;"",_xlfn.XLOOKUP(Sheet3!A40,FoodTable[Food],FoodTable[Fibers]*B40,"Not Found",,2),"")</f>
        <v/>
      </c>
      <c r="H40" t="str" cm="1">
        <f t="array" ref="H40">IF(Sheet3!A40&lt;&gt;"",_xlfn.XLOOKUP(Sheet3!A40,FoodTable[Food],FoodTable[Sugars]*B40,"Not Found",,2),"")</f>
        <v/>
      </c>
    </row>
    <row r="41" spans="2:8" x14ac:dyDescent="0.2">
      <c r="B41" t="str">
        <f>IF(A41&lt;&gt;"",1,"")</f>
        <v/>
      </c>
      <c r="C41" s="6" t="str">
        <f>IF(Sheet3!A41&lt;&gt;"",_xlfn.XLOOKUP(Sheet3!A41,FoodTable[Food],FoodTable[Per Unit],"Not Found",,2),"")</f>
        <v/>
      </c>
      <c r="D41" t="str" cm="1">
        <f t="array" ref="D41">IF(Sheet3!A41&lt;&gt;"",_xlfn.XLOOKUP(Sheet3!A41,FoodTable[Food],FoodTable[Calories (kcal)]*Sheet3!B41,"Not Found",,2),"")</f>
        <v/>
      </c>
      <c r="E41" t="str" cm="1">
        <f t="array" ref="E41">IF(Sheet3!A41&lt;&gt;"",_xlfn.XLOOKUP(Sheet3!A41,FoodTable[Food],FoodTable[Fats (g)]*B41,"Not Found",,2),"")</f>
        <v/>
      </c>
      <c r="F41" t="str" cm="1">
        <f t="array" ref="F41">IF(Sheet3!A41&lt;&gt;"",_xlfn.XLOOKUP(Sheet3!A41,FoodTable[Food],FoodTable[Proteins (g)]*B41,"Not Found",,2),"")</f>
        <v/>
      </c>
      <c r="G41" t="str" cm="1">
        <f t="array" ref="G41">IF(Sheet3!A41&lt;&gt;"",_xlfn.XLOOKUP(Sheet3!A41,FoodTable[Food],FoodTable[Fibers]*B41,"Not Found",,2),"")</f>
        <v/>
      </c>
      <c r="H41" t="str" cm="1">
        <f t="array" ref="H41">IF(Sheet3!A41&lt;&gt;"",_xlfn.XLOOKUP(Sheet3!A41,FoodTable[Food],FoodTable[Sugars]*B41,"Not Found",,2),"")</f>
        <v/>
      </c>
    </row>
    <row r="42" spans="2:8" x14ac:dyDescent="0.2">
      <c r="B42" t="str">
        <f>IF(A42&lt;&gt;"",1,"")</f>
        <v/>
      </c>
      <c r="C42" s="6" t="str">
        <f>IF(Sheet3!A42&lt;&gt;"",_xlfn.XLOOKUP(Sheet3!A42,FoodTable[Food],FoodTable[Per Unit],"Not Found",,2),"")</f>
        <v/>
      </c>
      <c r="D42" t="str" cm="1">
        <f t="array" ref="D42">IF(Sheet3!A42&lt;&gt;"",_xlfn.XLOOKUP(Sheet3!A42,FoodTable[Food],FoodTable[Calories (kcal)]*Sheet3!B42,"Not Found",,2),"")</f>
        <v/>
      </c>
      <c r="E42" t="str" cm="1">
        <f t="array" ref="E42">IF(Sheet3!A42&lt;&gt;"",_xlfn.XLOOKUP(Sheet3!A42,FoodTable[Food],FoodTable[Fats (g)]*B42,"Not Found",,2),"")</f>
        <v/>
      </c>
      <c r="F42" t="str" cm="1">
        <f t="array" ref="F42">IF(Sheet3!A42&lt;&gt;"",_xlfn.XLOOKUP(Sheet3!A42,FoodTable[Food],FoodTable[Proteins (g)]*B42,"Not Found",,2),"")</f>
        <v/>
      </c>
      <c r="G42" t="str" cm="1">
        <f t="array" ref="G42">IF(Sheet3!A42&lt;&gt;"",_xlfn.XLOOKUP(Sheet3!A42,FoodTable[Food],FoodTable[Fibers]*B42,"Not Found",,2),"")</f>
        <v/>
      </c>
      <c r="H42" t="str" cm="1">
        <f t="array" ref="H42">IF(Sheet3!A42&lt;&gt;"",_xlfn.XLOOKUP(Sheet3!A42,FoodTable[Food],FoodTable[Sugars]*B42,"Not Found",,2),"")</f>
        <v/>
      </c>
    </row>
    <row r="43" spans="2:8" x14ac:dyDescent="0.2">
      <c r="B43" t="str">
        <f>IF(A43&lt;&gt;"",1,"")</f>
        <v/>
      </c>
      <c r="C43" s="6" t="str">
        <f>IF(Sheet3!A43&lt;&gt;"",_xlfn.XLOOKUP(Sheet3!A43,FoodTable[Food],FoodTable[Per Unit],"Not Found",,2),"")</f>
        <v/>
      </c>
      <c r="D43" t="str" cm="1">
        <f t="array" ref="D43">IF(Sheet3!A43&lt;&gt;"",_xlfn.XLOOKUP(Sheet3!A43,FoodTable[Food],FoodTable[Calories (kcal)]*Sheet3!B43,"Not Found",,2),"")</f>
        <v/>
      </c>
      <c r="E43" t="str" cm="1">
        <f t="array" ref="E43">IF(Sheet3!A43&lt;&gt;"",_xlfn.XLOOKUP(Sheet3!A43,FoodTable[Food],FoodTable[Fats (g)]*B43,"Not Found",,2),"")</f>
        <v/>
      </c>
      <c r="F43" t="str" cm="1">
        <f t="array" ref="F43">IF(Sheet3!A43&lt;&gt;"",_xlfn.XLOOKUP(Sheet3!A43,FoodTable[Food],FoodTable[Proteins (g)]*B43,"Not Found",,2),"")</f>
        <v/>
      </c>
      <c r="G43" t="str" cm="1">
        <f t="array" ref="G43">IF(Sheet3!A43&lt;&gt;"",_xlfn.XLOOKUP(Sheet3!A43,FoodTable[Food],FoodTable[Fibers]*B43,"Not Found",,2),"")</f>
        <v/>
      </c>
      <c r="H43" t="str" cm="1">
        <f t="array" ref="H43">IF(Sheet3!A43&lt;&gt;"",_xlfn.XLOOKUP(Sheet3!A43,FoodTable[Food],FoodTable[Sugars]*B43,"Not Found",,2),"")</f>
        <v/>
      </c>
    </row>
    <row r="44" spans="2:8" x14ac:dyDescent="0.2">
      <c r="B44" t="str">
        <f>IF(A44&lt;&gt;"",1,"")</f>
        <v/>
      </c>
      <c r="C44" s="6" t="str">
        <f>IF(Sheet3!A44&lt;&gt;"",_xlfn.XLOOKUP(Sheet3!A44,FoodTable[Food],FoodTable[Per Unit],"Not Found",,2),"")</f>
        <v/>
      </c>
      <c r="D44" t="str" cm="1">
        <f t="array" ref="D44">IF(Sheet3!A44&lt;&gt;"",_xlfn.XLOOKUP(Sheet3!A44,FoodTable[Food],FoodTable[Calories (kcal)]*Sheet3!B44,"Not Found",,2),"")</f>
        <v/>
      </c>
      <c r="E44" t="str" cm="1">
        <f t="array" ref="E44">IF(Sheet3!A44&lt;&gt;"",_xlfn.XLOOKUP(Sheet3!A44,FoodTable[Food],FoodTable[Fats (g)]*B44,"Not Found",,2),"")</f>
        <v/>
      </c>
      <c r="F44" t="str" cm="1">
        <f t="array" ref="F44">IF(Sheet3!A44&lt;&gt;"",_xlfn.XLOOKUP(Sheet3!A44,FoodTable[Food],FoodTable[Proteins (g)]*B44,"Not Found",,2),"")</f>
        <v/>
      </c>
      <c r="G44" t="str" cm="1">
        <f t="array" ref="G44">IF(Sheet3!A44&lt;&gt;"",_xlfn.XLOOKUP(Sheet3!A44,FoodTable[Food],FoodTable[Fibers]*B44,"Not Found",,2),"")</f>
        <v/>
      </c>
      <c r="H44" t="str" cm="1">
        <f t="array" ref="H44">IF(Sheet3!A44&lt;&gt;"",_xlfn.XLOOKUP(Sheet3!A44,FoodTable[Food],FoodTable[Sugars]*B44,"Not Found",,2),"")</f>
        <v/>
      </c>
    </row>
    <row r="45" spans="2:8" x14ac:dyDescent="0.2">
      <c r="B45" t="str">
        <f>IF(A45&lt;&gt;"",1,"")</f>
        <v/>
      </c>
      <c r="C45" s="6" t="str">
        <f>IF(Sheet3!A45&lt;&gt;"",_xlfn.XLOOKUP(Sheet3!A45,FoodTable[Food],FoodTable[Per Unit],"Not Found",,2),"")</f>
        <v/>
      </c>
      <c r="D45" t="str" cm="1">
        <f t="array" ref="D45">IF(Sheet3!A45&lt;&gt;"",_xlfn.XLOOKUP(Sheet3!A45,FoodTable[Food],FoodTable[Calories (kcal)]*Sheet3!B45,"Not Found",,2),"")</f>
        <v/>
      </c>
      <c r="E45" t="str" cm="1">
        <f t="array" ref="E45">IF(Sheet3!A45&lt;&gt;"",_xlfn.XLOOKUP(Sheet3!A45,FoodTable[Food],FoodTable[Fats (g)]*B45,"Not Found",,2),"")</f>
        <v/>
      </c>
      <c r="F45" t="str" cm="1">
        <f t="array" ref="F45">IF(Sheet3!A45&lt;&gt;"",_xlfn.XLOOKUP(Sheet3!A45,FoodTable[Food],FoodTable[Proteins (g)]*B45,"Not Found",,2),"")</f>
        <v/>
      </c>
      <c r="G45" t="str" cm="1">
        <f t="array" ref="G45">IF(Sheet3!A45&lt;&gt;"",_xlfn.XLOOKUP(Sheet3!A45,FoodTable[Food],FoodTable[Fibers]*B45,"Not Found",,2),"")</f>
        <v/>
      </c>
      <c r="H45" t="str" cm="1">
        <f t="array" ref="H45">IF(Sheet3!A45&lt;&gt;"",_xlfn.XLOOKUP(Sheet3!A45,FoodTable[Food],FoodTable[Sugars]*B45,"Not Found",,2),"")</f>
        <v/>
      </c>
    </row>
    <row r="46" spans="2:8" x14ac:dyDescent="0.2">
      <c r="B46" t="str">
        <f>IF(A46&lt;&gt;"",1,"")</f>
        <v/>
      </c>
      <c r="C46" s="6" t="str">
        <f>IF(Sheet3!A46&lt;&gt;"",_xlfn.XLOOKUP(Sheet3!A46,FoodTable[Food],FoodTable[Per Unit],"Not Found",,2),"")</f>
        <v/>
      </c>
      <c r="D46" t="str" cm="1">
        <f t="array" ref="D46">IF(Sheet3!A46&lt;&gt;"",_xlfn.XLOOKUP(Sheet3!A46,FoodTable[Food],FoodTable[Calories (kcal)]*Sheet3!B46,"Not Found",,2),"")</f>
        <v/>
      </c>
      <c r="E46" t="str" cm="1">
        <f t="array" ref="E46">IF(Sheet3!A46&lt;&gt;"",_xlfn.XLOOKUP(Sheet3!A46,FoodTable[Food],FoodTable[Fats (g)]*B46,"Not Found",,2),"")</f>
        <v/>
      </c>
      <c r="F46" t="str" cm="1">
        <f t="array" ref="F46">IF(Sheet3!A46&lt;&gt;"",_xlfn.XLOOKUP(Sheet3!A46,FoodTable[Food],FoodTable[Proteins (g)]*B46,"Not Found",,2),"")</f>
        <v/>
      </c>
      <c r="G46" t="str" cm="1">
        <f t="array" ref="G46">IF(Sheet3!A46&lt;&gt;"",_xlfn.XLOOKUP(Sheet3!A46,FoodTable[Food],FoodTable[Fibers]*B46,"Not Found",,2),"")</f>
        <v/>
      </c>
      <c r="H46" t="str" cm="1">
        <f t="array" ref="H46">IF(Sheet3!A46&lt;&gt;"",_xlfn.XLOOKUP(Sheet3!A46,FoodTable[Food],FoodTable[Sugars]*B46,"Not Found",,2),"")</f>
        <v/>
      </c>
    </row>
    <row r="47" spans="2:8" x14ac:dyDescent="0.2">
      <c r="B47" t="str">
        <f>IF(A47&lt;&gt;"",1,"")</f>
        <v/>
      </c>
      <c r="C47" s="6" t="str">
        <f>IF(Sheet3!A47&lt;&gt;"",_xlfn.XLOOKUP(Sheet3!A47,FoodTable[Food],FoodTable[Per Unit],"Not Found",,2),"")</f>
        <v/>
      </c>
      <c r="D47" t="str" cm="1">
        <f t="array" ref="D47">IF(Sheet3!A47&lt;&gt;"",_xlfn.XLOOKUP(Sheet3!A47,FoodTable[Food],FoodTable[Calories (kcal)]*Sheet3!B47,"Not Found",,2),"")</f>
        <v/>
      </c>
      <c r="E47" t="str" cm="1">
        <f t="array" ref="E47">IF(Sheet3!A47&lt;&gt;"",_xlfn.XLOOKUP(Sheet3!A47,FoodTable[Food],FoodTable[Fats (g)]*B47,"Not Found",,2),"")</f>
        <v/>
      </c>
      <c r="F47" t="str" cm="1">
        <f t="array" ref="F47">IF(Sheet3!A47&lt;&gt;"",_xlfn.XLOOKUP(Sheet3!A47,FoodTable[Food],FoodTable[Proteins (g)]*B47,"Not Found",,2),"")</f>
        <v/>
      </c>
      <c r="G47" t="str" cm="1">
        <f t="array" ref="G47">IF(Sheet3!A47&lt;&gt;"",_xlfn.XLOOKUP(Sheet3!A47,FoodTable[Food],FoodTable[Fibers]*B47,"Not Found",,2),"")</f>
        <v/>
      </c>
      <c r="H47" t="str" cm="1">
        <f t="array" ref="H47">IF(Sheet3!A47&lt;&gt;"",_xlfn.XLOOKUP(Sheet3!A47,FoodTable[Food],FoodTable[Sugars]*B47,"Not Found",,2),"")</f>
        <v/>
      </c>
    </row>
    <row r="48" spans="2:8" x14ac:dyDescent="0.2">
      <c r="B48" t="str">
        <f>IF(A48&lt;&gt;"",1,"")</f>
        <v/>
      </c>
      <c r="C48" s="6" t="str">
        <f>IF(Sheet3!A48&lt;&gt;"",_xlfn.XLOOKUP(Sheet3!A48,FoodTable[Food],FoodTable[Per Unit],"Not Found",,2),"")</f>
        <v/>
      </c>
      <c r="D48" t="str" cm="1">
        <f t="array" ref="D48">IF(Sheet3!A48&lt;&gt;"",_xlfn.XLOOKUP(Sheet3!A48,FoodTable[Food],FoodTable[Calories (kcal)]*Sheet3!B48,"Not Found",,2),"")</f>
        <v/>
      </c>
      <c r="E48" t="str" cm="1">
        <f t="array" ref="E48">IF(Sheet3!A48&lt;&gt;"",_xlfn.XLOOKUP(Sheet3!A48,FoodTable[Food],FoodTable[Fats (g)]*B48,"Not Found",,2),"")</f>
        <v/>
      </c>
      <c r="F48" t="str" cm="1">
        <f t="array" ref="F48">IF(Sheet3!A48&lt;&gt;"",_xlfn.XLOOKUP(Sheet3!A48,FoodTable[Food],FoodTable[Proteins (g)]*B48,"Not Found",,2),"")</f>
        <v/>
      </c>
      <c r="G48" t="str" cm="1">
        <f t="array" ref="G48">IF(Sheet3!A48&lt;&gt;"",_xlfn.XLOOKUP(Sheet3!A48,FoodTable[Food],FoodTable[Fibers]*B48,"Not Found",,2),"")</f>
        <v/>
      </c>
      <c r="H48" t="str" cm="1">
        <f t="array" ref="H48">IF(Sheet3!A48&lt;&gt;"",_xlfn.XLOOKUP(Sheet3!A48,FoodTable[Food],FoodTable[Sugars]*B48,"Not Found",,2),"")</f>
        <v/>
      </c>
    </row>
    <row r="49" spans="2:8" x14ac:dyDescent="0.2">
      <c r="B49" t="str">
        <f>IF(A49&lt;&gt;"",1,"")</f>
        <v/>
      </c>
      <c r="C49" s="6" t="str">
        <f>IF(Sheet3!A49&lt;&gt;"",_xlfn.XLOOKUP(Sheet3!A49,FoodTable[Food],FoodTable[Per Unit],"Not Found",,2),"")</f>
        <v/>
      </c>
      <c r="D49" t="str" cm="1">
        <f t="array" ref="D49">IF(Sheet3!A49&lt;&gt;"",_xlfn.XLOOKUP(Sheet3!A49,FoodTable[Food],FoodTable[Calories (kcal)]*Sheet3!B49,"Not Found",,2),"")</f>
        <v/>
      </c>
      <c r="E49" t="str" cm="1">
        <f t="array" ref="E49">IF(Sheet3!A49&lt;&gt;"",_xlfn.XLOOKUP(Sheet3!A49,FoodTable[Food],FoodTable[Fats (g)]*B49,"Not Found",,2),"")</f>
        <v/>
      </c>
      <c r="F49" t="str" cm="1">
        <f t="array" ref="F49">IF(Sheet3!A49&lt;&gt;"",_xlfn.XLOOKUP(Sheet3!A49,FoodTable[Food],FoodTable[Proteins (g)]*B49,"Not Found",,2),"")</f>
        <v/>
      </c>
      <c r="G49" t="str" cm="1">
        <f t="array" ref="G49">IF(Sheet3!A49&lt;&gt;"",_xlfn.XLOOKUP(Sheet3!A49,FoodTable[Food],FoodTable[Fibers]*B49,"Not Found",,2),"")</f>
        <v/>
      </c>
      <c r="H49" t="str" cm="1">
        <f t="array" ref="H49">IF(Sheet3!A49&lt;&gt;"",_xlfn.XLOOKUP(Sheet3!A49,FoodTable[Food],FoodTable[Sugars]*B49,"Not Found",,2),"")</f>
        <v/>
      </c>
    </row>
    <row r="50" spans="2:8" x14ac:dyDescent="0.2">
      <c r="B50" t="str">
        <f>IF(A50&lt;&gt;"",1,"")</f>
        <v/>
      </c>
      <c r="C50" s="6" t="str">
        <f>IF(Sheet3!A50&lt;&gt;"",_xlfn.XLOOKUP(Sheet3!A50,FoodTable[Food],FoodTable[Per Unit],"Not Found",,2),"")</f>
        <v/>
      </c>
      <c r="D50" t="str" cm="1">
        <f t="array" ref="D50">IF(Sheet3!A50&lt;&gt;"",_xlfn.XLOOKUP(Sheet3!A50,FoodTable[Food],FoodTable[Calories (kcal)]*Sheet3!B50,"Not Found",,2),"")</f>
        <v/>
      </c>
      <c r="E50" t="str" cm="1">
        <f t="array" ref="E50">IF(Sheet3!A50&lt;&gt;"",_xlfn.XLOOKUP(Sheet3!A50,FoodTable[Food],FoodTable[Fats (g)]*B50,"Not Found",,2),"")</f>
        <v/>
      </c>
      <c r="F50" t="str" cm="1">
        <f t="array" ref="F50">IF(Sheet3!A50&lt;&gt;"",_xlfn.XLOOKUP(Sheet3!A50,FoodTable[Food],FoodTable[Proteins (g)]*B50,"Not Found",,2),"")</f>
        <v/>
      </c>
      <c r="G50" t="str" cm="1">
        <f t="array" ref="G50">IF(Sheet3!A50&lt;&gt;"",_xlfn.XLOOKUP(Sheet3!A50,FoodTable[Food],FoodTable[Fibers]*B50,"Not Found",,2),"")</f>
        <v/>
      </c>
      <c r="H50" t="str" cm="1">
        <f t="array" ref="H50">IF(Sheet3!A50&lt;&gt;"",_xlfn.XLOOKUP(Sheet3!A50,FoodTable[Food],FoodTable[Sugars]*B50,"Not Found",,2),"")</f>
        <v/>
      </c>
    </row>
    <row r="51" spans="2:8" x14ac:dyDescent="0.2">
      <c r="B51" t="str">
        <f t="shared" ref="B51:B67" si="0">IF(A51&lt;&gt;"",1,"")</f>
        <v/>
      </c>
      <c r="C51" s="6" t="str">
        <f>IF(Sheet3!A51&lt;&gt;"",_xlfn.XLOOKUP(Sheet3!A51,FoodTable[Food],FoodTable[Per Unit],"Not Found",,2),"")</f>
        <v/>
      </c>
      <c r="D51" t="str" cm="1">
        <f t="array" ref="D51">IF(Sheet3!A51&lt;&gt;"",_xlfn.XLOOKUP(Sheet3!A51,FoodTable[Food],FoodTable[Calories (kcal)]*Sheet3!B51,"Not Found",,2),"")</f>
        <v/>
      </c>
      <c r="E51" t="str" cm="1">
        <f t="array" ref="E51">IF(Sheet3!A51&lt;&gt;"",_xlfn.XLOOKUP(Sheet3!A51,FoodTable[Food],FoodTable[Fats (g)]*B51,"Not Found",,2),"")</f>
        <v/>
      </c>
      <c r="F51" t="str" cm="1">
        <f t="array" ref="F51">IF(Sheet3!A51&lt;&gt;"",_xlfn.XLOOKUP(Sheet3!A51,FoodTable[Food],FoodTable[Proteins (g)]*B51,"Not Found",,2),"")</f>
        <v/>
      </c>
      <c r="G51" t="str" cm="1">
        <f t="array" ref="G51">IF(Sheet3!A51&lt;&gt;"",_xlfn.XLOOKUP(Sheet3!A51,FoodTable[Food],FoodTable[Fibers]*B51,"Not Found",,2),"")</f>
        <v/>
      </c>
      <c r="H51" t="str" cm="1">
        <f t="array" ref="H51">IF(Sheet3!A51&lt;&gt;"",_xlfn.XLOOKUP(Sheet3!A51,FoodTable[Food],FoodTable[Sugars]*B51,"Not Found",,2),"")</f>
        <v/>
      </c>
    </row>
    <row r="52" spans="2:8" x14ac:dyDescent="0.2">
      <c r="B52" t="str">
        <f t="shared" si="0"/>
        <v/>
      </c>
      <c r="C52" s="6" t="str">
        <f>IF(Sheet3!A52&lt;&gt;"",_xlfn.XLOOKUP(Sheet3!A52,FoodTable[Food],FoodTable[Per Unit],"Not Found",,2),"")</f>
        <v/>
      </c>
      <c r="D52" t="str" cm="1">
        <f t="array" ref="D52">IF(Sheet3!A52&lt;&gt;"",_xlfn.XLOOKUP(Sheet3!A52,FoodTable[Food],FoodTable[Calories (kcal)]*Sheet3!B52,"Not Found",,2),"")</f>
        <v/>
      </c>
      <c r="E52" t="str" cm="1">
        <f t="array" ref="E52">IF(Sheet3!A52&lt;&gt;"",_xlfn.XLOOKUP(Sheet3!A52,FoodTable[Food],FoodTable[Fats (g)]*B52,"Not Found",,2),"")</f>
        <v/>
      </c>
      <c r="F52" t="str" cm="1">
        <f t="array" ref="F52">IF(Sheet3!A52&lt;&gt;"",_xlfn.XLOOKUP(Sheet3!A52,FoodTable[Food],FoodTable[Proteins (g)]*B52,"Not Found",,2),"")</f>
        <v/>
      </c>
      <c r="G52" t="str" cm="1">
        <f t="array" ref="G52">IF(Sheet3!A52&lt;&gt;"",_xlfn.XLOOKUP(Sheet3!A52,FoodTable[Food],FoodTable[Fibers]*B52,"Not Found",,2),"")</f>
        <v/>
      </c>
      <c r="H52" t="str" cm="1">
        <f t="array" ref="H52">IF(Sheet3!A52&lt;&gt;"",_xlfn.XLOOKUP(Sheet3!A52,FoodTable[Food],FoodTable[Sugars]*B52,"Not Found",,2),"")</f>
        <v/>
      </c>
    </row>
    <row r="53" spans="2:8" x14ac:dyDescent="0.2">
      <c r="B53" t="str">
        <f t="shared" si="0"/>
        <v/>
      </c>
      <c r="C53" s="6" t="str">
        <f>IF(Sheet3!A53&lt;&gt;"",_xlfn.XLOOKUP(Sheet3!A53,FoodTable[Food],FoodTable[Per Unit],"Not Found",,2),"")</f>
        <v/>
      </c>
      <c r="D53" t="str" cm="1">
        <f t="array" ref="D53">IF(Sheet3!A53&lt;&gt;"",_xlfn.XLOOKUP(Sheet3!A53,FoodTable[Food],FoodTable[Calories (kcal)]*Sheet3!B53,"Not Found",,2),"")</f>
        <v/>
      </c>
      <c r="E53" t="str" cm="1">
        <f t="array" ref="E53">IF(Sheet3!A53&lt;&gt;"",_xlfn.XLOOKUP(Sheet3!A53,FoodTable[Food],FoodTable[Fats (g)]*B53,"Not Found",,2),"")</f>
        <v/>
      </c>
      <c r="F53" t="str" cm="1">
        <f t="array" ref="F53">IF(Sheet3!A53&lt;&gt;"",_xlfn.XLOOKUP(Sheet3!A53,FoodTable[Food],FoodTable[Proteins (g)]*B53,"Not Found",,2),"")</f>
        <v/>
      </c>
      <c r="G53" t="str" cm="1">
        <f t="array" ref="G53">IF(Sheet3!A53&lt;&gt;"",_xlfn.XLOOKUP(Sheet3!A53,FoodTable[Food],FoodTable[Fibers]*B53,"Not Found",,2),"")</f>
        <v/>
      </c>
      <c r="H53" t="str" cm="1">
        <f t="array" ref="H53">IF(Sheet3!A53&lt;&gt;"",_xlfn.XLOOKUP(Sheet3!A53,FoodTable[Food],FoodTable[Sugars]*B53,"Not Found",,2),"")</f>
        <v/>
      </c>
    </row>
    <row r="54" spans="2:8" x14ac:dyDescent="0.2">
      <c r="B54" t="str">
        <f t="shared" si="0"/>
        <v/>
      </c>
      <c r="C54" s="6" t="str">
        <f>IF(Sheet3!A54&lt;&gt;"",_xlfn.XLOOKUP(Sheet3!A54,FoodTable[Food],FoodTable[Per Unit],"Not Found",,2),"")</f>
        <v/>
      </c>
      <c r="D54" t="str" cm="1">
        <f t="array" ref="D54">IF(Sheet3!A54&lt;&gt;"",_xlfn.XLOOKUP(Sheet3!A54,FoodTable[Food],FoodTable[Calories (kcal)]*Sheet3!B54,"Not Found",,2),"")</f>
        <v/>
      </c>
      <c r="E54" t="str" cm="1">
        <f t="array" ref="E54">IF(Sheet3!A54&lt;&gt;"",_xlfn.XLOOKUP(Sheet3!A54,FoodTable[Food],FoodTable[Fats (g)]*B54,"Not Found",,2),"")</f>
        <v/>
      </c>
      <c r="F54" t="str" cm="1">
        <f t="array" ref="F54">IF(Sheet3!A54&lt;&gt;"",_xlfn.XLOOKUP(Sheet3!A54,FoodTable[Food],FoodTable[Proteins (g)]*B54,"Not Found",,2),"")</f>
        <v/>
      </c>
      <c r="G54" t="str" cm="1">
        <f t="array" ref="G54">IF(Sheet3!A54&lt;&gt;"",_xlfn.XLOOKUP(Sheet3!A54,FoodTable[Food],FoodTable[Fibers]*B54,"Not Found",,2),"")</f>
        <v/>
      </c>
      <c r="H54" t="str" cm="1">
        <f t="array" ref="H54">IF(Sheet3!A54&lt;&gt;"",_xlfn.XLOOKUP(Sheet3!A54,FoodTable[Food],FoodTable[Sugars]*B54,"Not Found",,2),"")</f>
        <v/>
      </c>
    </row>
    <row r="55" spans="2:8" x14ac:dyDescent="0.2">
      <c r="B55" t="str">
        <f t="shared" si="0"/>
        <v/>
      </c>
      <c r="C55" s="6" t="str">
        <f>IF(Sheet3!A55&lt;&gt;"",_xlfn.XLOOKUP(Sheet3!A55,FoodTable[Food],FoodTable[Per Unit],"Not Found",,2),"")</f>
        <v/>
      </c>
      <c r="D55" t="str" cm="1">
        <f t="array" ref="D55">IF(Sheet3!A55&lt;&gt;"",_xlfn.XLOOKUP(Sheet3!A55,FoodTable[Food],FoodTable[Calories (kcal)]*Sheet3!B55,"Not Found",,2),"")</f>
        <v/>
      </c>
      <c r="E55" t="str" cm="1">
        <f t="array" ref="E55">IF(Sheet3!A55&lt;&gt;"",_xlfn.XLOOKUP(Sheet3!A55,FoodTable[Food],FoodTable[Fats (g)]*B55,"Not Found",,2),"")</f>
        <v/>
      </c>
      <c r="F55" t="str" cm="1">
        <f t="array" ref="F55">IF(Sheet3!A55&lt;&gt;"",_xlfn.XLOOKUP(Sheet3!A55,FoodTable[Food],FoodTable[Proteins (g)]*B55,"Not Found",,2),"")</f>
        <v/>
      </c>
      <c r="G55" t="str" cm="1">
        <f t="array" ref="G55">IF(Sheet3!A55&lt;&gt;"",_xlfn.XLOOKUP(Sheet3!A55,FoodTable[Food],FoodTable[Fibers]*B55,"Not Found",,2),"")</f>
        <v/>
      </c>
      <c r="H55" t="str" cm="1">
        <f t="array" ref="H55">IF(Sheet3!A55&lt;&gt;"",_xlfn.XLOOKUP(Sheet3!A55,FoodTable[Food],FoodTable[Sugars]*B55,"Not Found",,2),"")</f>
        <v/>
      </c>
    </row>
    <row r="56" spans="2:8" x14ac:dyDescent="0.2">
      <c r="B56" t="str">
        <f t="shared" si="0"/>
        <v/>
      </c>
      <c r="C56" s="6" t="str">
        <f>IF(Sheet3!A56&lt;&gt;"",_xlfn.XLOOKUP(Sheet3!A56,FoodTable[Food],FoodTable[Per Unit],"Not Found",,2),"")</f>
        <v/>
      </c>
      <c r="D56" t="str" cm="1">
        <f t="array" ref="D56">IF(Sheet3!A56&lt;&gt;"",_xlfn.XLOOKUP(Sheet3!A56,FoodTable[Food],FoodTable[Calories (kcal)]*Sheet3!B56,"Not Found",,2),"")</f>
        <v/>
      </c>
      <c r="E56" t="str" cm="1">
        <f t="array" ref="E56">IF(Sheet3!A56&lt;&gt;"",_xlfn.XLOOKUP(Sheet3!A56,FoodTable[Food],FoodTable[Fats (g)]*B56,"Not Found",,2),"")</f>
        <v/>
      </c>
      <c r="F56" t="str" cm="1">
        <f t="array" ref="F56">IF(Sheet3!A56&lt;&gt;"",_xlfn.XLOOKUP(Sheet3!A56,FoodTable[Food],FoodTable[Proteins (g)]*B56,"Not Found",,2),"")</f>
        <v/>
      </c>
      <c r="G56" t="str" cm="1">
        <f t="array" ref="G56">IF(Sheet3!A56&lt;&gt;"",_xlfn.XLOOKUP(Sheet3!A56,FoodTable[Food],FoodTable[Fibers]*B56,"Not Found",,2),"")</f>
        <v/>
      </c>
      <c r="H56" t="str" cm="1">
        <f t="array" ref="H56">IF(Sheet3!A56&lt;&gt;"",_xlfn.XLOOKUP(Sheet3!A56,FoodTable[Food],FoodTable[Sugars]*B56,"Not Found",,2),"")</f>
        <v/>
      </c>
    </row>
    <row r="57" spans="2:8" x14ac:dyDescent="0.2">
      <c r="B57" t="str">
        <f t="shared" si="0"/>
        <v/>
      </c>
      <c r="C57" s="6" t="str">
        <f>IF(Sheet3!A57&lt;&gt;"",_xlfn.XLOOKUP(Sheet3!A57,FoodTable[Food],FoodTable[Per Unit],"Not Found",,2),"")</f>
        <v/>
      </c>
      <c r="D57" t="str" cm="1">
        <f t="array" ref="D57">IF(Sheet3!A57&lt;&gt;"",_xlfn.XLOOKUP(Sheet3!A57,FoodTable[Food],FoodTable[Calories (kcal)]*Sheet3!B57,"Not Found",,2),"")</f>
        <v/>
      </c>
      <c r="E57" t="str" cm="1">
        <f t="array" ref="E57">IF(Sheet3!A57&lt;&gt;"",_xlfn.XLOOKUP(Sheet3!A57,FoodTable[Food],FoodTable[Fats (g)]*B57,"Not Found",,2),"")</f>
        <v/>
      </c>
      <c r="F57" t="str" cm="1">
        <f t="array" ref="F57">IF(Sheet3!A57&lt;&gt;"",_xlfn.XLOOKUP(Sheet3!A57,FoodTable[Food],FoodTable[Proteins (g)]*B57,"Not Found",,2),"")</f>
        <v/>
      </c>
      <c r="G57" t="str" cm="1">
        <f t="array" ref="G57">IF(Sheet3!A57&lt;&gt;"",_xlfn.XLOOKUP(Sheet3!A57,FoodTable[Food],FoodTable[Fibers]*B57,"Not Found",,2),"")</f>
        <v/>
      </c>
      <c r="H57" t="str" cm="1">
        <f t="array" ref="H57">IF(Sheet3!A57&lt;&gt;"",_xlfn.XLOOKUP(Sheet3!A57,FoodTable[Food],FoodTable[Sugars]*B57,"Not Found",,2),"")</f>
        <v/>
      </c>
    </row>
    <row r="58" spans="2:8" x14ac:dyDescent="0.2">
      <c r="B58" t="str">
        <f t="shared" si="0"/>
        <v/>
      </c>
      <c r="C58" s="6" t="str">
        <f>IF(Sheet3!A58&lt;&gt;"",_xlfn.XLOOKUP(Sheet3!A58,FoodTable[Food],FoodTable[Per Unit],"Not Found",,2),"")</f>
        <v/>
      </c>
      <c r="D58" t="str" cm="1">
        <f t="array" ref="D58">IF(Sheet3!A58&lt;&gt;"",_xlfn.XLOOKUP(Sheet3!A58,FoodTable[Food],FoodTable[Calories (kcal)]*Sheet3!B58,"Not Found",,2),"")</f>
        <v/>
      </c>
      <c r="E58" t="str" cm="1">
        <f t="array" ref="E58">IF(Sheet3!A58&lt;&gt;"",_xlfn.XLOOKUP(Sheet3!A58,FoodTable[Food],FoodTable[Fats (g)]*B58,"Not Found",,2),"")</f>
        <v/>
      </c>
      <c r="F58" t="str" cm="1">
        <f t="array" ref="F58">IF(Sheet3!A58&lt;&gt;"",_xlfn.XLOOKUP(Sheet3!A58,FoodTable[Food],FoodTable[Proteins (g)]*B58,"Not Found",,2),"")</f>
        <v/>
      </c>
      <c r="G58" t="str" cm="1">
        <f t="array" ref="G58">IF(Sheet3!A58&lt;&gt;"",_xlfn.XLOOKUP(Sheet3!A58,FoodTable[Food],FoodTable[Fibers]*B58,"Not Found",,2),"")</f>
        <v/>
      </c>
      <c r="H58" t="str" cm="1">
        <f t="array" ref="H58">IF(Sheet3!A58&lt;&gt;"",_xlfn.XLOOKUP(Sheet3!A58,FoodTable[Food],FoodTable[Sugars]*B58,"Not Found",,2),"")</f>
        <v/>
      </c>
    </row>
    <row r="59" spans="2:8" x14ac:dyDescent="0.2">
      <c r="B59" t="str">
        <f t="shared" si="0"/>
        <v/>
      </c>
      <c r="C59" s="6" t="str">
        <f>IF(Sheet3!A59&lt;&gt;"",_xlfn.XLOOKUP(Sheet3!A59,FoodTable[Food],FoodTable[Per Unit],"Not Found",,2),"")</f>
        <v/>
      </c>
      <c r="D59" t="str" cm="1">
        <f t="array" ref="D59">IF(Sheet3!A59&lt;&gt;"",_xlfn.XLOOKUP(Sheet3!A59,FoodTable[Food],FoodTable[Calories (kcal)]*Sheet3!B59,"Not Found",,2),"")</f>
        <v/>
      </c>
      <c r="E59" t="str" cm="1">
        <f t="array" ref="E59">IF(Sheet3!A59&lt;&gt;"",_xlfn.XLOOKUP(Sheet3!A59,FoodTable[Food],FoodTable[Fats (g)]*B59,"Not Found",,2),"")</f>
        <v/>
      </c>
      <c r="F59" t="str" cm="1">
        <f t="array" ref="F59">IF(Sheet3!A59&lt;&gt;"",_xlfn.XLOOKUP(Sheet3!A59,FoodTable[Food],FoodTable[Proteins (g)]*B59,"Not Found",,2),"")</f>
        <v/>
      </c>
      <c r="G59" t="str" cm="1">
        <f t="array" ref="G59">IF(Sheet3!A59&lt;&gt;"",_xlfn.XLOOKUP(Sheet3!A59,FoodTable[Food],FoodTable[Fibers]*B59,"Not Found",,2),"")</f>
        <v/>
      </c>
      <c r="H59" t="str" cm="1">
        <f t="array" ref="H59">IF(Sheet3!A59&lt;&gt;"",_xlfn.XLOOKUP(Sheet3!A59,FoodTable[Food],FoodTable[Sugars]*B59,"Not Found",,2),"")</f>
        <v/>
      </c>
    </row>
    <row r="60" spans="2:8" x14ac:dyDescent="0.2">
      <c r="B60" t="str">
        <f t="shared" si="0"/>
        <v/>
      </c>
      <c r="C60" s="6" t="str">
        <f>IF(Sheet3!A60&lt;&gt;"",_xlfn.XLOOKUP(Sheet3!A60,FoodTable[Food],FoodTable[Per Unit],"Not Found",,2),"")</f>
        <v/>
      </c>
      <c r="D60" t="str" cm="1">
        <f t="array" ref="D60">IF(Sheet3!A60&lt;&gt;"",_xlfn.XLOOKUP(Sheet3!A60,FoodTable[Food],FoodTable[Calories (kcal)]*Sheet3!B60,"Not Found",,2),"")</f>
        <v/>
      </c>
      <c r="E60" t="str" cm="1">
        <f t="array" ref="E60">IF(Sheet3!A60&lt;&gt;"",_xlfn.XLOOKUP(Sheet3!A60,FoodTable[Food],FoodTable[Fats (g)]*B60,"Not Found",,2),"")</f>
        <v/>
      </c>
      <c r="F60" t="str" cm="1">
        <f t="array" ref="F60">IF(Sheet3!A60&lt;&gt;"",_xlfn.XLOOKUP(Sheet3!A60,FoodTable[Food],FoodTable[Proteins (g)]*B60,"Not Found",,2),"")</f>
        <v/>
      </c>
      <c r="G60" t="str" cm="1">
        <f t="array" ref="G60">IF(Sheet3!A60&lt;&gt;"",_xlfn.XLOOKUP(Sheet3!A60,FoodTable[Food],FoodTable[Fibers]*B60,"Not Found",,2),"")</f>
        <v/>
      </c>
      <c r="H60" t="str" cm="1">
        <f t="array" ref="H60">IF(Sheet3!A60&lt;&gt;"",_xlfn.XLOOKUP(Sheet3!A60,FoodTable[Food],FoodTable[Sugars]*B60,"Not Found",,2),"")</f>
        <v/>
      </c>
    </row>
    <row r="61" spans="2:8" x14ac:dyDescent="0.2">
      <c r="B61" t="str">
        <f t="shared" si="0"/>
        <v/>
      </c>
      <c r="C61" s="6" t="str">
        <f>IF(Sheet3!A61&lt;&gt;"",_xlfn.XLOOKUP(Sheet3!A61,FoodTable[Food],FoodTable[Per Unit],"Not Found",,2),"")</f>
        <v/>
      </c>
      <c r="D61" t="str" cm="1">
        <f t="array" ref="D61">IF(Sheet3!A61&lt;&gt;"",_xlfn.XLOOKUP(Sheet3!A61,FoodTable[Food],FoodTable[Calories (kcal)]*Sheet3!B61,"Not Found",,2),"")</f>
        <v/>
      </c>
      <c r="E61" t="str" cm="1">
        <f t="array" ref="E61">IF(Sheet3!A61&lt;&gt;"",_xlfn.XLOOKUP(Sheet3!A61,FoodTable[Food],FoodTable[Fats (g)]*B61,"Not Found",,2),"")</f>
        <v/>
      </c>
      <c r="F61" t="str" cm="1">
        <f t="array" ref="F61">IF(Sheet3!A61&lt;&gt;"",_xlfn.XLOOKUP(Sheet3!A61,FoodTable[Food],FoodTable[Proteins (g)]*B61,"Not Found",,2),"")</f>
        <v/>
      </c>
      <c r="G61" t="str" cm="1">
        <f t="array" ref="G61">IF(Sheet3!A61&lt;&gt;"",_xlfn.XLOOKUP(Sheet3!A61,FoodTable[Food],FoodTable[Fibers]*B61,"Not Found",,2),"")</f>
        <v/>
      </c>
      <c r="H61" t="str" cm="1">
        <f t="array" ref="H61">IF(Sheet3!A61&lt;&gt;"",_xlfn.XLOOKUP(Sheet3!A61,FoodTable[Food],FoodTable[Sugars]*B61,"Not Found",,2),"")</f>
        <v/>
      </c>
    </row>
    <row r="62" spans="2:8" x14ac:dyDescent="0.2">
      <c r="B62" t="str">
        <f t="shared" si="0"/>
        <v/>
      </c>
      <c r="C62" s="6" t="str">
        <f>IF(Sheet3!A62&lt;&gt;"",_xlfn.XLOOKUP(Sheet3!A62,FoodTable[Food],FoodTable[Per Unit],"Not Found",,2),"")</f>
        <v/>
      </c>
      <c r="D62" t="str" cm="1">
        <f t="array" ref="D62">IF(Sheet3!A62&lt;&gt;"",_xlfn.XLOOKUP(Sheet3!A62,FoodTable[Food],FoodTable[Calories (kcal)]*Sheet3!B62,"Not Found",,2),"")</f>
        <v/>
      </c>
      <c r="E62" t="str" cm="1">
        <f t="array" ref="E62">IF(Sheet3!A62&lt;&gt;"",_xlfn.XLOOKUP(Sheet3!A62,FoodTable[Food],FoodTable[Fats (g)]*B62,"Not Found",,2),"")</f>
        <v/>
      </c>
      <c r="F62" t="str" cm="1">
        <f t="array" ref="F62">IF(Sheet3!A62&lt;&gt;"",_xlfn.XLOOKUP(Sheet3!A62,FoodTable[Food],FoodTable[Proteins (g)]*B62,"Not Found",,2),"")</f>
        <v/>
      </c>
      <c r="G62" t="str" cm="1">
        <f t="array" ref="G62">IF(Sheet3!A62&lt;&gt;"",_xlfn.XLOOKUP(Sheet3!A62,FoodTable[Food],FoodTable[Fibers]*B62,"Not Found",,2),"")</f>
        <v/>
      </c>
      <c r="H62" t="str" cm="1">
        <f t="array" ref="H62">IF(Sheet3!A62&lt;&gt;"",_xlfn.XLOOKUP(Sheet3!A62,FoodTable[Food],FoodTable[Sugars]*B62,"Not Found",,2),"")</f>
        <v/>
      </c>
    </row>
    <row r="63" spans="2:8" x14ac:dyDescent="0.2">
      <c r="B63" t="str">
        <f t="shared" si="0"/>
        <v/>
      </c>
      <c r="C63" s="6" t="str">
        <f>IF(Sheet3!A63&lt;&gt;"",_xlfn.XLOOKUP(Sheet3!A63,FoodTable[Food],FoodTable[Per Unit],"Not Found",,2),"")</f>
        <v/>
      </c>
      <c r="D63" t="str" cm="1">
        <f t="array" ref="D63">IF(Sheet3!A63&lt;&gt;"",_xlfn.XLOOKUP(Sheet3!A63,FoodTable[Food],FoodTable[Calories (kcal)]*Sheet3!B63,"Not Found",,2),"")</f>
        <v/>
      </c>
      <c r="E63" t="str" cm="1">
        <f t="array" ref="E63">IF(Sheet3!A63&lt;&gt;"",_xlfn.XLOOKUP(Sheet3!A63,FoodTable[Food],FoodTable[Fats (g)]*B63,"Not Found",,2),"")</f>
        <v/>
      </c>
      <c r="F63" t="str" cm="1">
        <f t="array" ref="F63">IF(Sheet3!A63&lt;&gt;"",_xlfn.XLOOKUP(Sheet3!A63,FoodTable[Food],FoodTable[Proteins (g)]*B63,"Not Found",,2),"")</f>
        <v/>
      </c>
      <c r="G63" t="str" cm="1">
        <f t="array" ref="G63">IF(Sheet3!A63&lt;&gt;"",_xlfn.XLOOKUP(Sheet3!A63,FoodTable[Food],FoodTable[Fibers]*B63,"Not Found",,2),"")</f>
        <v/>
      </c>
      <c r="H63" t="str" cm="1">
        <f t="array" ref="H63">IF(Sheet3!A63&lt;&gt;"",_xlfn.XLOOKUP(Sheet3!A63,FoodTable[Food],FoodTable[Sugars]*B63,"Not Found",,2),"")</f>
        <v/>
      </c>
    </row>
    <row r="64" spans="2:8" x14ac:dyDescent="0.2">
      <c r="B64" t="str">
        <f t="shared" si="0"/>
        <v/>
      </c>
      <c r="C64" s="6" t="str">
        <f>IF(Sheet3!A64&lt;&gt;"",_xlfn.XLOOKUP(Sheet3!A64,FoodTable[Food],FoodTable[Per Unit],"Not Found",,2),"")</f>
        <v/>
      </c>
      <c r="D64" t="str" cm="1">
        <f t="array" ref="D64">IF(Sheet3!A64&lt;&gt;"",_xlfn.XLOOKUP(Sheet3!A64,FoodTable[Food],FoodTable[Calories (kcal)]*Sheet3!B64,"Not Found",,2),"")</f>
        <v/>
      </c>
      <c r="E64" t="str" cm="1">
        <f t="array" ref="E64">IF(Sheet3!A64&lt;&gt;"",_xlfn.XLOOKUP(Sheet3!A64,FoodTable[Food],FoodTable[Fats (g)]*B64,"Not Found",,2),"")</f>
        <v/>
      </c>
      <c r="F64" t="str" cm="1">
        <f t="array" ref="F64">IF(Sheet3!A64&lt;&gt;"",_xlfn.XLOOKUP(Sheet3!A64,FoodTable[Food],FoodTable[Proteins (g)]*B64,"Not Found",,2),"")</f>
        <v/>
      </c>
      <c r="G64" t="str" cm="1">
        <f t="array" ref="G64">IF(Sheet3!A64&lt;&gt;"",_xlfn.XLOOKUP(Sheet3!A64,FoodTable[Food],FoodTable[Fibers]*B64,"Not Found",,2),"")</f>
        <v/>
      </c>
      <c r="H64" t="str" cm="1">
        <f t="array" ref="H64">IF(Sheet3!A64&lt;&gt;"",_xlfn.XLOOKUP(Sheet3!A64,FoodTable[Food],FoodTable[Sugars]*B64,"Not Found",,2),"")</f>
        <v/>
      </c>
    </row>
    <row r="65" spans="2:8" x14ac:dyDescent="0.2">
      <c r="B65" t="str">
        <f t="shared" si="0"/>
        <v/>
      </c>
      <c r="C65" s="6" t="str">
        <f>IF(Sheet3!A65&lt;&gt;"",_xlfn.XLOOKUP(Sheet3!A65,FoodTable[Food],FoodTable[Per Unit],"Not Found",,2),"")</f>
        <v/>
      </c>
      <c r="D65" t="str" cm="1">
        <f t="array" ref="D65">IF(Sheet3!A65&lt;&gt;"",_xlfn.XLOOKUP(Sheet3!A65,FoodTable[Food],FoodTable[Calories (kcal)]*Sheet3!B65,"Not Found",,2),"")</f>
        <v/>
      </c>
      <c r="E65" t="str" cm="1">
        <f t="array" ref="E65">IF(Sheet3!A65&lt;&gt;"",_xlfn.XLOOKUP(Sheet3!A65,FoodTable[Food],FoodTable[Fats (g)]*B65,"Not Found",,2),"")</f>
        <v/>
      </c>
      <c r="F65" t="str" cm="1">
        <f t="array" ref="F65">IF(Sheet3!A65&lt;&gt;"",_xlfn.XLOOKUP(Sheet3!A65,FoodTable[Food],FoodTable[Proteins (g)]*B65,"Not Found",,2),"")</f>
        <v/>
      </c>
      <c r="G65" t="str" cm="1">
        <f t="array" ref="G65">IF(Sheet3!A65&lt;&gt;"",_xlfn.XLOOKUP(Sheet3!A65,FoodTable[Food],FoodTable[Fibers]*B65,"Not Found",,2),"")</f>
        <v/>
      </c>
      <c r="H65" t="str" cm="1">
        <f t="array" ref="H65">IF(Sheet3!A65&lt;&gt;"",_xlfn.XLOOKUP(Sheet3!A65,FoodTable[Food],FoodTable[Sugars]*B65,"Not Found",,2),"")</f>
        <v/>
      </c>
    </row>
    <row r="66" spans="2:8" x14ac:dyDescent="0.2">
      <c r="B66" t="str">
        <f t="shared" si="0"/>
        <v/>
      </c>
      <c r="C66" s="6" t="str">
        <f>IF(Sheet3!A66&lt;&gt;"",_xlfn.XLOOKUP(Sheet3!A66,FoodTable[Food],FoodTable[Per Unit],"Not Found",,2),"")</f>
        <v/>
      </c>
      <c r="D66" t="str" cm="1">
        <f t="array" ref="D66">IF(Sheet3!A66&lt;&gt;"",_xlfn.XLOOKUP(Sheet3!A66,FoodTable[Food],FoodTable[Calories (kcal)]*Sheet3!B66,"Not Found",,2),"")</f>
        <v/>
      </c>
      <c r="E66" t="str" cm="1">
        <f t="array" ref="E66">IF(Sheet3!A66&lt;&gt;"",_xlfn.XLOOKUP(Sheet3!A66,FoodTable[Food],FoodTable[Fats (g)]*B66,"Not Found",,2),"")</f>
        <v/>
      </c>
      <c r="F66" t="str" cm="1">
        <f t="array" ref="F66">IF(Sheet3!A66&lt;&gt;"",_xlfn.XLOOKUP(Sheet3!A66,FoodTable[Food],FoodTable[Proteins (g)]*B66,"Not Found",,2),"")</f>
        <v/>
      </c>
      <c r="G66" t="str" cm="1">
        <f t="array" ref="G66">IF(Sheet3!A66&lt;&gt;"",_xlfn.XLOOKUP(Sheet3!A66,FoodTable[Food],FoodTable[Fibers]*B66,"Not Found",,2),"")</f>
        <v/>
      </c>
      <c r="H66" t="str" cm="1">
        <f t="array" ref="H66">IF(Sheet3!A66&lt;&gt;"",_xlfn.XLOOKUP(Sheet3!A66,FoodTable[Food],FoodTable[Sugars]*B66,"Not Found",,2),"")</f>
        <v/>
      </c>
    </row>
    <row r="67" spans="2:8" x14ac:dyDescent="0.2">
      <c r="B67" t="str">
        <f t="shared" si="0"/>
        <v/>
      </c>
      <c r="C67" s="6" t="str">
        <f>IF(Sheet3!A67&lt;&gt;"",_xlfn.XLOOKUP(Sheet3!A67,FoodTable[Food],FoodTable[Per Unit],"Not Found",,2),"")</f>
        <v/>
      </c>
      <c r="D67" t="str" cm="1">
        <f t="array" ref="D67">IF(Sheet3!A67&lt;&gt;"",_xlfn.XLOOKUP(Sheet3!A67,FoodTable[Food],FoodTable[Calories (kcal)]*Sheet3!B67,"Not Found",,2),"")</f>
        <v/>
      </c>
      <c r="E67" t="str" cm="1">
        <f t="array" ref="E67">IF(Sheet3!A67&lt;&gt;"",_xlfn.XLOOKUP(Sheet3!A67,FoodTable[Food],FoodTable[Fats (g)]*B67,"Not Found",,2),"")</f>
        <v/>
      </c>
      <c r="F67" t="str" cm="1">
        <f t="array" ref="F67">IF(Sheet3!A67&lt;&gt;"",_xlfn.XLOOKUP(Sheet3!A67,FoodTable[Food],FoodTable[Proteins (g)]*B67,"Not Found",,2),"")</f>
        <v/>
      </c>
      <c r="G67" t="str" cm="1">
        <f t="array" ref="G67">IF(Sheet3!A67&lt;&gt;"",_xlfn.XLOOKUP(Sheet3!A67,FoodTable[Food],FoodTable[Fibers]*B67,"Not Found",,2),"")</f>
        <v/>
      </c>
      <c r="H67" t="str" cm="1">
        <f t="array" ref="H67">IF(Sheet3!A67&lt;&gt;"",_xlfn.XLOOKUP(Sheet3!A67,FoodTable[Food],FoodTable[Sugars]*B67,"Not Found",,2),"")</f>
        <v/>
      </c>
    </row>
    <row r="68" spans="2:8" x14ac:dyDescent="0.2">
      <c r="B68" t="str">
        <f t="shared" ref="B68:B131" si="1">IF(A68&lt;&gt;"",1,"")</f>
        <v/>
      </c>
      <c r="C68" s="6" t="str">
        <f>IF(Sheet3!A68&lt;&gt;"",_xlfn.XLOOKUP(Sheet3!A68,FoodTable[Food],FoodTable[Per Unit],"Not Found",,2),"")</f>
        <v/>
      </c>
      <c r="D68" t="str" cm="1">
        <f t="array" ref="D68">IF(Sheet3!A68&lt;&gt;"",_xlfn.XLOOKUP(Sheet3!A68,FoodTable[Food],FoodTable[Calories (kcal)]*Sheet3!B68,"Not Found",,2),"")</f>
        <v/>
      </c>
      <c r="E68" t="str" cm="1">
        <f t="array" ref="E68">IF(Sheet3!A68&lt;&gt;"",_xlfn.XLOOKUP(Sheet3!A68,FoodTable[Food],FoodTable[Fats (g)]*B68,"Not Found",,2),"")</f>
        <v/>
      </c>
      <c r="F68" t="str" cm="1">
        <f t="array" ref="F68">IF(Sheet3!A68&lt;&gt;"",_xlfn.XLOOKUP(Sheet3!A68,FoodTable[Food],FoodTable[Proteins (g)]*B68,"Not Found",,2),"")</f>
        <v/>
      </c>
      <c r="G68" t="str" cm="1">
        <f t="array" ref="G68">IF(Sheet3!A68&lt;&gt;"",_xlfn.XLOOKUP(Sheet3!A68,FoodTable[Food],FoodTable[Fibers]*B68,"Not Found",,2),"")</f>
        <v/>
      </c>
      <c r="H68" t="str" cm="1">
        <f t="array" ref="H68">IF(Sheet3!A68&lt;&gt;"",_xlfn.XLOOKUP(Sheet3!A68,FoodTable[Food],FoodTable[Sugars]*B68,"Not Found",,2),"")</f>
        <v/>
      </c>
    </row>
    <row r="69" spans="2:8" x14ac:dyDescent="0.2">
      <c r="B69" t="str">
        <f t="shared" si="1"/>
        <v/>
      </c>
      <c r="C69" s="6" t="str">
        <f>IF(Sheet3!A69&lt;&gt;"",_xlfn.XLOOKUP(Sheet3!A69,FoodTable[Food],FoodTable[Per Unit],"Not Found",,2),"")</f>
        <v/>
      </c>
      <c r="D69" t="str" cm="1">
        <f t="array" ref="D69">IF(Sheet3!A69&lt;&gt;"",_xlfn.XLOOKUP(Sheet3!A69,FoodTable[Food],FoodTable[Calories (kcal)]*Sheet3!B69,"Not Found",,2),"")</f>
        <v/>
      </c>
      <c r="E69" t="str" cm="1">
        <f t="array" ref="E69">IF(Sheet3!A69&lt;&gt;"",_xlfn.XLOOKUP(Sheet3!A69,FoodTable[Food],FoodTable[Fats (g)]*B69,"Not Found",,2),"")</f>
        <v/>
      </c>
      <c r="F69" t="str" cm="1">
        <f t="array" ref="F69">IF(Sheet3!A69&lt;&gt;"",_xlfn.XLOOKUP(Sheet3!A69,FoodTable[Food],FoodTable[Proteins (g)]*B69,"Not Found",,2),"")</f>
        <v/>
      </c>
      <c r="G69" t="str" cm="1">
        <f t="array" ref="G69">IF(Sheet3!A69&lt;&gt;"",_xlfn.XLOOKUP(Sheet3!A69,FoodTable[Food],FoodTable[Fibers]*B69,"Not Found",,2),"")</f>
        <v/>
      </c>
      <c r="H69" t="str" cm="1">
        <f t="array" ref="H69">IF(Sheet3!A69&lt;&gt;"",_xlfn.XLOOKUP(Sheet3!A69,FoodTable[Food],FoodTable[Sugars]*B69,"Not Found",,2),"")</f>
        <v/>
      </c>
    </row>
    <row r="70" spans="2:8" x14ac:dyDescent="0.2">
      <c r="B70" t="str">
        <f t="shared" si="1"/>
        <v/>
      </c>
      <c r="C70" s="6" t="str">
        <f>IF(Sheet3!A70&lt;&gt;"",_xlfn.XLOOKUP(Sheet3!A70,FoodTable[Food],FoodTable[Per Unit],"Not Found",,2),"")</f>
        <v/>
      </c>
      <c r="D70" t="str" cm="1">
        <f t="array" ref="D70">IF(Sheet3!A70&lt;&gt;"",_xlfn.XLOOKUP(Sheet3!A70,FoodTable[Food],FoodTable[Calories (kcal)]*Sheet3!B70,"Not Found",,2),"")</f>
        <v/>
      </c>
      <c r="E70" t="str" cm="1">
        <f t="array" ref="E70">IF(Sheet3!A70&lt;&gt;"",_xlfn.XLOOKUP(Sheet3!A70,FoodTable[Food],FoodTable[Fats (g)]*B70,"Not Found",,2),"")</f>
        <v/>
      </c>
      <c r="F70" t="str" cm="1">
        <f t="array" ref="F70">IF(Sheet3!A70&lt;&gt;"",_xlfn.XLOOKUP(Sheet3!A70,FoodTable[Food],FoodTable[Proteins (g)]*B70,"Not Found",,2),"")</f>
        <v/>
      </c>
      <c r="G70" t="str" cm="1">
        <f t="array" ref="G70">IF(Sheet3!A70&lt;&gt;"",_xlfn.XLOOKUP(Sheet3!A70,FoodTable[Food],FoodTable[Fibers]*B70,"Not Found",,2),"")</f>
        <v/>
      </c>
      <c r="H70" t="str" cm="1">
        <f t="array" ref="H70">IF(Sheet3!A70&lt;&gt;"",_xlfn.XLOOKUP(Sheet3!A70,FoodTable[Food],FoodTable[Sugars]*B70,"Not Found",,2),"")</f>
        <v/>
      </c>
    </row>
    <row r="71" spans="2:8" x14ac:dyDescent="0.2">
      <c r="B71" t="str">
        <f t="shared" si="1"/>
        <v/>
      </c>
      <c r="C71" s="6" t="str">
        <f>IF(Sheet3!A71&lt;&gt;"",_xlfn.XLOOKUP(Sheet3!A71,FoodTable[Food],FoodTable[Per Unit],"Not Found",,2),"")</f>
        <v/>
      </c>
      <c r="D71" t="str" cm="1">
        <f t="array" ref="D71">IF(Sheet3!A71&lt;&gt;"",_xlfn.XLOOKUP(Sheet3!A71,FoodTable[Food],FoodTable[Calories (kcal)]*Sheet3!B71,"Not Found",,2),"")</f>
        <v/>
      </c>
      <c r="E71" t="str" cm="1">
        <f t="array" ref="E71">IF(Sheet3!A71&lt;&gt;"",_xlfn.XLOOKUP(Sheet3!A71,FoodTable[Food],FoodTable[Fats (g)]*B71,"Not Found",,2),"")</f>
        <v/>
      </c>
      <c r="F71" t="str" cm="1">
        <f t="array" ref="F71">IF(Sheet3!A71&lt;&gt;"",_xlfn.XLOOKUP(Sheet3!A71,FoodTable[Food],FoodTable[Proteins (g)]*B71,"Not Found",,2),"")</f>
        <v/>
      </c>
      <c r="G71" t="str" cm="1">
        <f t="array" ref="G71">IF(Sheet3!A71&lt;&gt;"",_xlfn.XLOOKUP(Sheet3!A71,FoodTable[Food],FoodTable[Fibers]*B71,"Not Found",,2),"")</f>
        <v/>
      </c>
      <c r="H71" t="str" cm="1">
        <f t="array" ref="H71">IF(Sheet3!A71&lt;&gt;"",_xlfn.XLOOKUP(Sheet3!A71,FoodTable[Food],FoodTable[Sugars]*B71,"Not Found",,2),"")</f>
        <v/>
      </c>
    </row>
    <row r="72" spans="2:8" x14ac:dyDescent="0.2">
      <c r="B72" t="str">
        <f t="shared" si="1"/>
        <v/>
      </c>
      <c r="C72" s="6" t="str">
        <f>IF(Sheet3!A72&lt;&gt;"",_xlfn.XLOOKUP(Sheet3!A72,FoodTable[Food],FoodTable[Per Unit],"Not Found",,2),"")</f>
        <v/>
      </c>
      <c r="D72" t="str" cm="1">
        <f t="array" ref="D72">IF(Sheet3!A72&lt;&gt;"",_xlfn.XLOOKUP(Sheet3!A72,FoodTable[Food],FoodTable[Calories (kcal)]*Sheet3!B72,"Not Found",,2),"")</f>
        <v/>
      </c>
      <c r="E72" t="str" cm="1">
        <f t="array" ref="E72">IF(Sheet3!A72&lt;&gt;"",_xlfn.XLOOKUP(Sheet3!A72,FoodTable[Food],FoodTable[Fats (g)]*B72,"Not Found",,2),"")</f>
        <v/>
      </c>
      <c r="F72" t="str" cm="1">
        <f t="array" ref="F72">IF(Sheet3!A72&lt;&gt;"",_xlfn.XLOOKUP(Sheet3!A72,FoodTable[Food],FoodTable[Proteins (g)]*B72,"Not Found",,2),"")</f>
        <v/>
      </c>
      <c r="G72" t="str" cm="1">
        <f t="array" ref="G72">IF(Sheet3!A72&lt;&gt;"",_xlfn.XLOOKUP(Sheet3!A72,FoodTable[Food],FoodTable[Fibers]*B72,"Not Found",,2),"")</f>
        <v/>
      </c>
      <c r="H72" t="str" cm="1">
        <f t="array" ref="H72">IF(Sheet3!A72&lt;&gt;"",_xlfn.XLOOKUP(Sheet3!A72,FoodTable[Food],FoodTable[Sugars]*B72,"Not Found",,2),"")</f>
        <v/>
      </c>
    </row>
    <row r="73" spans="2:8" x14ac:dyDescent="0.2">
      <c r="B73" t="str">
        <f t="shared" si="1"/>
        <v/>
      </c>
      <c r="C73" s="6" t="str">
        <f>IF(Sheet3!A73&lt;&gt;"",_xlfn.XLOOKUP(Sheet3!A73,FoodTable[Food],FoodTable[Per Unit],"Not Found",,2),"")</f>
        <v/>
      </c>
      <c r="D73" t="str" cm="1">
        <f t="array" ref="D73">IF(Sheet3!A73&lt;&gt;"",_xlfn.XLOOKUP(Sheet3!A73,FoodTable[Food],FoodTable[Calories (kcal)]*Sheet3!B73,"Not Found",,2),"")</f>
        <v/>
      </c>
      <c r="E73" t="str" cm="1">
        <f t="array" ref="E73">IF(Sheet3!A73&lt;&gt;"",_xlfn.XLOOKUP(Sheet3!A73,FoodTable[Food],FoodTable[Fats (g)]*B73,"Not Found",,2),"")</f>
        <v/>
      </c>
      <c r="F73" t="str" cm="1">
        <f t="array" ref="F73">IF(Sheet3!A73&lt;&gt;"",_xlfn.XLOOKUP(Sheet3!A73,FoodTable[Food],FoodTable[Proteins (g)]*B73,"Not Found",,2),"")</f>
        <v/>
      </c>
      <c r="G73" t="str" cm="1">
        <f t="array" ref="G73">IF(Sheet3!A73&lt;&gt;"",_xlfn.XLOOKUP(Sheet3!A73,FoodTable[Food],FoodTable[Fibers]*B73,"Not Found",,2),"")</f>
        <v/>
      </c>
      <c r="H73" t="str" cm="1">
        <f t="array" ref="H73">IF(Sheet3!A73&lt;&gt;"",_xlfn.XLOOKUP(Sheet3!A73,FoodTable[Food],FoodTable[Sugars]*B73,"Not Found",,2),"")</f>
        <v/>
      </c>
    </row>
    <row r="74" spans="2:8" x14ac:dyDescent="0.2">
      <c r="B74" t="str">
        <f t="shared" si="1"/>
        <v/>
      </c>
      <c r="C74" s="6" t="str">
        <f>IF(Sheet3!A74&lt;&gt;"",_xlfn.XLOOKUP(Sheet3!A74,FoodTable[Food],FoodTable[Per Unit],"Not Found",,2),"")</f>
        <v/>
      </c>
      <c r="D74" t="str" cm="1">
        <f t="array" ref="D74">IF(Sheet3!A74&lt;&gt;"",_xlfn.XLOOKUP(Sheet3!A74,FoodTable[Food],FoodTable[Calories (kcal)]*Sheet3!B74,"Not Found",,2),"")</f>
        <v/>
      </c>
      <c r="E74" t="str" cm="1">
        <f t="array" ref="E74">IF(Sheet3!A74&lt;&gt;"",_xlfn.XLOOKUP(Sheet3!A74,FoodTable[Food],FoodTable[Fats (g)]*B74,"Not Found",,2),"")</f>
        <v/>
      </c>
      <c r="F74" t="str" cm="1">
        <f t="array" ref="F74">IF(Sheet3!A74&lt;&gt;"",_xlfn.XLOOKUP(Sheet3!A74,FoodTable[Food],FoodTable[Proteins (g)]*B74,"Not Found",,2),"")</f>
        <v/>
      </c>
      <c r="G74" t="str" cm="1">
        <f t="array" ref="G74">IF(Sheet3!A74&lt;&gt;"",_xlfn.XLOOKUP(Sheet3!A74,FoodTable[Food],FoodTable[Fibers]*B74,"Not Found",,2),"")</f>
        <v/>
      </c>
      <c r="H74" t="str" cm="1">
        <f t="array" ref="H74">IF(Sheet3!A74&lt;&gt;"",_xlfn.XLOOKUP(Sheet3!A74,FoodTable[Food],FoodTable[Sugars]*B74,"Not Found",,2),"")</f>
        <v/>
      </c>
    </row>
    <row r="75" spans="2:8" x14ac:dyDescent="0.2">
      <c r="B75" t="str">
        <f t="shared" si="1"/>
        <v/>
      </c>
      <c r="C75" s="6" t="str">
        <f>IF(Sheet3!A75&lt;&gt;"",_xlfn.XLOOKUP(Sheet3!A75,FoodTable[Food],FoodTable[Per Unit],"Not Found",,2),"")</f>
        <v/>
      </c>
      <c r="D75" t="str" cm="1">
        <f t="array" ref="D75">IF(Sheet3!A75&lt;&gt;"",_xlfn.XLOOKUP(Sheet3!A75,FoodTable[Food],FoodTable[Calories (kcal)]*Sheet3!B75,"Not Found",,2),"")</f>
        <v/>
      </c>
      <c r="E75" t="str" cm="1">
        <f t="array" ref="E75">IF(Sheet3!A75&lt;&gt;"",_xlfn.XLOOKUP(Sheet3!A75,FoodTable[Food],FoodTable[Fats (g)]*B75,"Not Found",,2),"")</f>
        <v/>
      </c>
      <c r="F75" t="str" cm="1">
        <f t="array" ref="F75">IF(Sheet3!A75&lt;&gt;"",_xlfn.XLOOKUP(Sheet3!A75,FoodTable[Food],FoodTable[Proteins (g)]*B75,"Not Found",,2),"")</f>
        <v/>
      </c>
      <c r="G75" t="str" cm="1">
        <f t="array" ref="G75">IF(Sheet3!A75&lt;&gt;"",_xlfn.XLOOKUP(Sheet3!A75,FoodTable[Food],FoodTable[Fibers]*B75,"Not Found",,2),"")</f>
        <v/>
      </c>
      <c r="H75" t="str" cm="1">
        <f t="array" ref="H75">IF(Sheet3!A75&lt;&gt;"",_xlfn.XLOOKUP(Sheet3!A75,FoodTable[Food],FoodTable[Sugars]*B75,"Not Found",,2),"")</f>
        <v/>
      </c>
    </row>
    <row r="76" spans="2:8" x14ac:dyDescent="0.2">
      <c r="B76" t="str">
        <f t="shared" si="1"/>
        <v/>
      </c>
      <c r="C76" s="6" t="str">
        <f>IF(Sheet3!A76&lt;&gt;"",_xlfn.XLOOKUP(Sheet3!A76,FoodTable[Food],FoodTable[Per Unit],"Not Found",,2),"")</f>
        <v/>
      </c>
      <c r="D76" t="str" cm="1">
        <f t="array" ref="D76">IF(Sheet3!A76&lt;&gt;"",_xlfn.XLOOKUP(Sheet3!A76,FoodTable[Food],FoodTable[Calories (kcal)]*Sheet3!B76,"Not Found",,2),"")</f>
        <v/>
      </c>
      <c r="E76" t="str" cm="1">
        <f t="array" ref="E76">IF(Sheet3!A76&lt;&gt;"",_xlfn.XLOOKUP(Sheet3!A76,FoodTable[Food],FoodTable[Fats (g)]*B76,"Not Found",,2),"")</f>
        <v/>
      </c>
      <c r="F76" t="str" cm="1">
        <f t="array" ref="F76">IF(Sheet3!A76&lt;&gt;"",_xlfn.XLOOKUP(Sheet3!A76,FoodTable[Food],FoodTable[Proteins (g)]*B76,"Not Found",,2),"")</f>
        <v/>
      </c>
      <c r="G76" t="str" cm="1">
        <f t="array" ref="G76">IF(Sheet3!A76&lt;&gt;"",_xlfn.XLOOKUP(Sheet3!A76,FoodTable[Food],FoodTable[Fibers]*B76,"Not Found",,2),"")</f>
        <v/>
      </c>
      <c r="H76" t="str" cm="1">
        <f t="array" ref="H76">IF(Sheet3!A76&lt;&gt;"",_xlfn.XLOOKUP(Sheet3!A76,FoodTable[Food],FoodTable[Sugars]*B76,"Not Found",,2),"")</f>
        <v/>
      </c>
    </row>
    <row r="77" spans="2:8" x14ac:dyDescent="0.2">
      <c r="B77" t="str">
        <f t="shared" si="1"/>
        <v/>
      </c>
      <c r="C77" s="6" t="str">
        <f>IF(Sheet3!A77&lt;&gt;"",_xlfn.XLOOKUP(Sheet3!A77,FoodTable[Food],FoodTable[Per Unit],"Not Found",,2),"")</f>
        <v/>
      </c>
      <c r="D77" t="str" cm="1">
        <f t="array" ref="D77">IF(Sheet3!A77&lt;&gt;"",_xlfn.XLOOKUP(Sheet3!A77,FoodTable[Food],FoodTable[Calories (kcal)]*Sheet3!B77,"Not Found",,2),"")</f>
        <v/>
      </c>
      <c r="E77" t="str" cm="1">
        <f t="array" ref="E77">IF(Sheet3!A77&lt;&gt;"",_xlfn.XLOOKUP(Sheet3!A77,FoodTable[Food],FoodTable[Fats (g)]*B77,"Not Found",,2),"")</f>
        <v/>
      </c>
      <c r="F77" t="str" cm="1">
        <f t="array" ref="F77">IF(Sheet3!A77&lt;&gt;"",_xlfn.XLOOKUP(Sheet3!A77,FoodTable[Food],FoodTable[Proteins (g)]*B77,"Not Found",,2),"")</f>
        <v/>
      </c>
      <c r="G77" t="str" cm="1">
        <f t="array" ref="G77">IF(Sheet3!A77&lt;&gt;"",_xlfn.XLOOKUP(Sheet3!A77,FoodTable[Food],FoodTable[Fibers]*B77,"Not Found",,2),"")</f>
        <v/>
      </c>
      <c r="H77" t="str" cm="1">
        <f t="array" ref="H77">IF(Sheet3!A77&lt;&gt;"",_xlfn.XLOOKUP(Sheet3!A77,FoodTable[Food],FoodTable[Sugars]*B77,"Not Found",,2),"")</f>
        <v/>
      </c>
    </row>
    <row r="78" spans="2:8" x14ac:dyDescent="0.2">
      <c r="B78" t="str">
        <f t="shared" si="1"/>
        <v/>
      </c>
      <c r="C78" s="6" t="str">
        <f>IF(Sheet3!A78&lt;&gt;"",_xlfn.XLOOKUP(Sheet3!A78,FoodTable[Food],FoodTable[Per Unit],"Not Found",,2),"")</f>
        <v/>
      </c>
      <c r="D78" t="str" cm="1">
        <f t="array" ref="D78">IF(Sheet3!A78&lt;&gt;"",_xlfn.XLOOKUP(Sheet3!A78,FoodTable[Food],FoodTable[Calories (kcal)]*Sheet3!B78,"Not Found",,2),"")</f>
        <v/>
      </c>
      <c r="E78" t="str" cm="1">
        <f t="array" ref="E78">IF(Sheet3!A78&lt;&gt;"",_xlfn.XLOOKUP(Sheet3!A78,FoodTable[Food],FoodTable[Fats (g)]*B78,"Not Found",,2),"")</f>
        <v/>
      </c>
      <c r="F78" t="str" cm="1">
        <f t="array" ref="F78">IF(Sheet3!A78&lt;&gt;"",_xlfn.XLOOKUP(Sheet3!A78,FoodTable[Food],FoodTable[Proteins (g)]*B78,"Not Found",,2),"")</f>
        <v/>
      </c>
      <c r="G78" t="str" cm="1">
        <f t="array" ref="G78">IF(Sheet3!A78&lt;&gt;"",_xlfn.XLOOKUP(Sheet3!A78,FoodTable[Food],FoodTable[Fibers]*B78,"Not Found",,2),"")</f>
        <v/>
      </c>
      <c r="H78" t="str" cm="1">
        <f t="array" ref="H78">IF(Sheet3!A78&lt;&gt;"",_xlfn.XLOOKUP(Sheet3!A78,FoodTable[Food],FoodTable[Sugars]*B78,"Not Found",,2),"")</f>
        <v/>
      </c>
    </row>
    <row r="79" spans="2:8" x14ac:dyDescent="0.2">
      <c r="B79" t="str">
        <f t="shared" si="1"/>
        <v/>
      </c>
      <c r="C79" s="6" t="str">
        <f>IF(Sheet3!A79&lt;&gt;"",_xlfn.XLOOKUP(Sheet3!A79,FoodTable[Food],FoodTable[Per Unit],"Not Found",,2),"")</f>
        <v/>
      </c>
      <c r="D79" t="str" cm="1">
        <f t="array" ref="D79">IF(Sheet3!A79&lt;&gt;"",_xlfn.XLOOKUP(Sheet3!A79,FoodTable[Food],FoodTable[Calories (kcal)]*Sheet3!B79,"Not Found",,2),"")</f>
        <v/>
      </c>
      <c r="E79" t="str" cm="1">
        <f t="array" ref="E79">IF(Sheet3!A79&lt;&gt;"",_xlfn.XLOOKUP(Sheet3!A79,FoodTable[Food],FoodTable[Fats (g)]*B79,"Not Found",,2),"")</f>
        <v/>
      </c>
      <c r="F79" t="str" cm="1">
        <f t="array" ref="F79">IF(Sheet3!A79&lt;&gt;"",_xlfn.XLOOKUP(Sheet3!A79,FoodTable[Food],FoodTable[Proteins (g)]*B79,"Not Found",,2),"")</f>
        <v/>
      </c>
      <c r="G79" t="str" cm="1">
        <f t="array" ref="G79">IF(Sheet3!A79&lt;&gt;"",_xlfn.XLOOKUP(Sheet3!A79,FoodTable[Food],FoodTable[Fibers]*B79,"Not Found",,2),"")</f>
        <v/>
      </c>
      <c r="H79" t="str" cm="1">
        <f t="array" ref="H79">IF(Sheet3!A79&lt;&gt;"",_xlfn.XLOOKUP(Sheet3!A79,FoodTable[Food],FoodTable[Sugars]*B79,"Not Found",,2),"")</f>
        <v/>
      </c>
    </row>
    <row r="80" spans="2:8" x14ac:dyDescent="0.2">
      <c r="B80" t="str">
        <f t="shared" si="1"/>
        <v/>
      </c>
      <c r="C80" s="6" t="str">
        <f>IF(Sheet3!A80&lt;&gt;"",_xlfn.XLOOKUP(Sheet3!A80,FoodTable[Food],FoodTable[Per Unit],"Not Found",,2),"")</f>
        <v/>
      </c>
      <c r="D80" t="str" cm="1">
        <f t="array" ref="D80">IF(Sheet3!A80&lt;&gt;"",_xlfn.XLOOKUP(Sheet3!A80,FoodTable[Food],FoodTable[Calories (kcal)]*Sheet3!B80,"Not Found",,2),"")</f>
        <v/>
      </c>
      <c r="E80" t="str" cm="1">
        <f t="array" ref="E80">IF(Sheet3!A80&lt;&gt;"",_xlfn.XLOOKUP(Sheet3!A80,FoodTable[Food],FoodTable[Fats (g)]*B80,"Not Found",,2),"")</f>
        <v/>
      </c>
      <c r="F80" t="str" cm="1">
        <f t="array" ref="F80">IF(Sheet3!A80&lt;&gt;"",_xlfn.XLOOKUP(Sheet3!A80,FoodTable[Food],FoodTable[Proteins (g)]*B80,"Not Found",,2),"")</f>
        <v/>
      </c>
      <c r="G80" t="str" cm="1">
        <f t="array" ref="G80">IF(Sheet3!A80&lt;&gt;"",_xlfn.XLOOKUP(Sheet3!A80,FoodTable[Food],FoodTable[Fibers]*B80,"Not Found",,2),"")</f>
        <v/>
      </c>
      <c r="H80" t="str" cm="1">
        <f t="array" ref="H80">IF(Sheet3!A80&lt;&gt;"",_xlfn.XLOOKUP(Sheet3!A80,FoodTable[Food],FoodTable[Sugars]*B80,"Not Found",,2),"")</f>
        <v/>
      </c>
    </row>
    <row r="81" spans="2:8" x14ac:dyDescent="0.2">
      <c r="B81" t="str">
        <f t="shared" si="1"/>
        <v/>
      </c>
      <c r="C81" s="6" t="str">
        <f>IF(Sheet3!A81&lt;&gt;"",_xlfn.XLOOKUP(Sheet3!A81,FoodTable[Food],FoodTable[Per Unit],"Not Found",,2),"")</f>
        <v/>
      </c>
      <c r="D81" t="str" cm="1">
        <f t="array" ref="D81">IF(Sheet3!A81&lt;&gt;"",_xlfn.XLOOKUP(Sheet3!A81,FoodTable[Food],FoodTable[Calories (kcal)]*Sheet3!B81,"Not Found",,2),"")</f>
        <v/>
      </c>
      <c r="E81" t="str" cm="1">
        <f t="array" ref="E81">IF(Sheet3!A81&lt;&gt;"",_xlfn.XLOOKUP(Sheet3!A81,FoodTable[Food],FoodTable[Fats (g)]*B81,"Not Found",,2),"")</f>
        <v/>
      </c>
      <c r="F81" t="str" cm="1">
        <f t="array" ref="F81">IF(Sheet3!A81&lt;&gt;"",_xlfn.XLOOKUP(Sheet3!A81,FoodTable[Food],FoodTable[Proteins (g)]*B81,"Not Found",,2),"")</f>
        <v/>
      </c>
      <c r="G81" t="str" cm="1">
        <f t="array" ref="G81">IF(Sheet3!A81&lt;&gt;"",_xlfn.XLOOKUP(Sheet3!A81,FoodTable[Food],FoodTable[Fibers]*B81,"Not Found",,2),"")</f>
        <v/>
      </c>
      <c r="H81" t="str" cm="1">
        <f t="array" ref="H81">IF(Sheet3!A81&lt;&gt;"",_xlfn.XLOOKUP(Sheet3!A81,FoodTable[Food],FoodTable[Sugars]*B81,"Not Found",,2),"")</f>
        <v/>
      </c>
    </row>
    <row r="82" spans="2:8" x14ac:dyDescent="0.2">
      <c r="B82" t="str">
        <f t="shared" si="1"/>
        <v/>
      </c>
      <c r="C82" s="6" t="str">
        <f>IF(Sheet3!A82&lt;&gt;"",_xlfn.XLOOKUP(Sheet3!A82,FoodTable[Food],FoodTable[Per Unit],"Not Found",,2),"")</f>
        <v/>
      </c>
      <c r="D82" t="str" cm="1">
        <f t="array" ref="D82">IF(Sheet3!A82&lt;&gt;"",_xlfn.XLOOKUP(Sheet3!A82,FoodTable[Food],FoodTable[Calories (kcal)]*Sheet3!B82,"Not Found",,2),"")</f>
        <v/>
      </c>
      <c r="E82" t="str" cm="1">
        <f t="array" ref="E82">IF(Sheet3!A82&lt;&gt;"",_xlfn.XLOOKUP(Sheet3!A82,FoodTable[Food],FoodTable[Fats (g)]*B82,"Not Found",,2),"")</f>
        <v/>
      </c>
      <c r="F82" t="str" cm="1">
        <f t="array" ref="F82">IF(Sheet3!A82&lt;&gt;"",_xlfn.XLOOKUP(Sheet3!A82,FoodTable[Food],FoodTable[Proteins (g)]*B82,"Not Found",,2),"")</f>
        <v/>
      </c>
      <c r="G82" t="str" cm="1">
        <f t="array" ref="G82">IF(Sheet3!A82&lt;&gt;"",_xlfn.XLOOKUP(Sheet3!A82,FoodTable[Food],FoodTable[Fibers]*B82,"Not Found",,2),"")</f>
        <v/>
      </c>
      <c r="H82" t="str" cm="1">
        <f t="array" ref="H82">IF(Sheet3!A82&lt;&gt;"",_xlfn.XLOOKUP(Sheet3!A82,FoodTable[Food],FoodTable[Sugars]*B82,"Not Found",,2),"")</f>
        <v/>
      </c>
    </row>
    <row r="83" spans="2:8" x14ac:dyDescent="0.2">
      <c r="B83" t="str">
        <f t="shared" si="1"/>
        <v/>
      </c>
      <c r="C83" s="6" t="str">
        <f>IF(Sheet3!A83&lt;&gt;"",_xlfn.XLOOKUP(Sheet3!A83,FoodTable[Food],FoodTable[Per Unit],"Not Found",,2),"")</f>
        <v/>
      </c>
      <c r="D83" t="str" cm="1">
        <f t="array" ref="D83">IF(Sheet3!A83&lt;&gt;"",_xlfn.XLOOKUP(Sheet3!A83,FoodTable[Food],FoodTable[Calories (kcal)]*Sheet3!B83,"Not Found",,2),"")</f>
        <v/>
      </c>
      <c r="E83" t="str" cm="1">
        <f t="array" ref="E83">IF(Sheet3!A83&lt;&gt;"",_xlfn.XLOOKUP(Sheet3!A83,FoodTable[Food],FoodTable[Fats (g)]*B83,"Not Found",,2),"")</f>
        <v/>
      </c>
      <c r="F83" t="str" cm="1">
        <f t="array" ref="F83">IF(Sheet3!A83&lt;&gt;"",_xlfn.XLOOKUP(Sheet3!A83,FoodTable[Food],FoodTable[Proteins (g)]*B83,"Not Found",,2),"")</f>
        <v/>
      </c>
      <c r="G83" t="str" cm="1">
        <f t="array" ref="G83">IF(Sheet3!A83&lt;&gt;"",_xlfn.XLOOKUP(Sheet3!A83,FoodTable[Food],FoodTable[Fibers]*B83,"Not Found",,2),"")</f>
        <v/>
      </c>
      <c r="H83" t="str" cm="1">
        <f t="array" ref="H83">IF(Sheet3!A83&lt;&gt;"",_xlfn.XLOOKUP(Sheet3!A83,FoodTable[Food],FoodTable[Sugars]*B83,"Not Found",,2),"")</f>
        <v/>
      </c>
    </row>
    <row r="84" spans="2:8" x14ac:dyDescent="0.2">
      <c r="B84" t="str">
        <f t="shared" si="1"/>
        <v/>
      </c>
      <c r="C84" s="6" t="str">
        <f>IF(Sheet3!A84&lt;&gt;"",_xlfn.XLOOKUP(Sheet3!A84,FoodTable[Food],FoodTable[Per Unit],"Not Found",,2),"")</f>
        <v/>
      </c>
      <c r="D84" t="str" cm="1">
        <f t="array" ref="D84">IF(Sheet3!A84&lt;&gt;"",_xlfn.XLOOKUP(Sheet3!A84,FoodTable[Food],FoodTable[Calories (kcal)]*Sheet3!B84,"Not Found",,2),"")</f>
        <v/>
      </c>
      <c r="E84" t="str" cm="1">
        <f t="array" ref="E84">IF(Sheet3!A84&lt;&gt;"",_xlfn.XLOOKUP(Sheet3!A84,FoodTable[Food],FoodTable[Fats (g)]*B84,"Not Found",,2),"")</f>
        <v/>
      </c>
      <c r="F84" t="str" cm="1">
        <f t="array" ref="F84">IF(Sheet3!A84&lt;&gt;"",_xlfn.XLOOKUP(Sheet3!A84,FoodTable[Food],FoodTable[Proteins (g)]*B84,"Not Found",,2),"")</f>
        <v/>
      </c>
      <c r="G84" t="str" cm="1">
        <f t="array" ref="G84">IF(Sheet3!A84&lt;&gt;"",_xlfn.XLOOKUP(Sheet3!A84,FoodTable[Food],FoodTable[Fibers]*B84,"Not Found",,2),"")</f>
        <v/>
      </c>
      <c r="H84" t="str" cm="1">
        <f t="array" ref="H84">IF(Sheet3!A84&lt;&gt;"",_xlfn.XLOOKUP(Sheet3!A84,FoodTable[Food],FoodTable[Sugars]*B84,"Not Found",,2),"")</f>
        <v/>
      </c>
    </row>
    <row r="85" spans="2:8" x14ac:dyDescent="0.2">
      <c r="B85" t="str">
        <f t="shared" si="1"/>
        <v/>
      </c>
      <c r="C85" s="6" t="str">
        <f>IF(Sheet3!A85&lt;&gt;"",_xlfn.XLOOKUP(Sheet3!A85,FoodTable[Food],FoodTable[Per Unit],"Not Found",,2),"")</f>
        <v/>
      </c>
      <c r="D85" t="str" cm="1">
        <f t="array" ref="D85">IF(Sheet3!A85&lt;&gt;"",_xlfn.XLOOKUP(Sheet3!A85,FoodTable[Food],FoodTable[Calories (kcal)]*Sheet3!B85,"Not Found",,2),"")</f>
        <v/>
      </c>
      <c r="E85" t="str" cm="1">
        <f t="array" ref="E85">IF(Sheet3!A85&lt;&gt;"",_xlfn.XLOOKUP(Sheet3!A85,FoodTable[Food],FoodTable[Fats (g)]*B85,"Not Found",,2),"")</f>
        <v/>
      </c>
      <c r="F85" t="str" cm="1">
        <f t="array" ref="F85">IF(Sheet3!A85&lt;&gt;"",_xlfn.XLOOKUP(Sheet3!A85,FoodTable[Food],FoodTable[Proteins (g)]*B85,"Not Found",,2),"")</f>
        <v/>
      </c>
      <c r="G85" t="str" cm="1">
        <f t="array" ref="G85">IF(Sheet3!A85&lt;&gt;"",_xlfn.XLOOKUP(Sheet3!A85,FoodTable[Food],FoodTable[Fibers]*B85,"Not Found",,2),"")</f>
        <v/>
      </c>
      <c r="H85" t="str" cm="1">
        <f t="array" ref="H85">IF(Sheet3!A85&lt;&gt;"",_xlfn.XLOOKUP(Sheet3!A85,FoodTable[Food],FoodTable[Sugars]*B85,"Not Found",,2),"")</f>
        <v/>
      </c>
    </row>
    <row r="86" spans="2:8" x14ac:dyDescent="0.2">
      <c r="B86" t="str">
        <f t="shared" si="1"/>
        <v/>
      </c>
      <c r="C86" s="6" t="str">
        <f>IF(Sheet3!A86&lt;&gt;"",_xlfn.XLOOKUP(Sheet3!A86,FoodTable[Food],FoodTable[Per Unit],"Not Found",,2),"")</f>
        <v/>
      </c>
      <c r="D86" t="str" cm="1">
        <f t="array" ref="D86">IF(Sheet3!A86&lt;&gt;"",_xlfn.XLOOKUP(Sheet3!A86,FoodTable[Food],FoodTable[Calories (kcal)]*Sheet3!B86,"Not Found",,2),"")</f>
        <v/>
      </c>
      <c r="E86" t="str" cm="1">
        <f t="array" ref="E86">IF(Sheet3!A86&lt;&gt;"",_xlfn.XLOOKUP(Sheet3!A86,FoodTable[Food],FoodTable[Fats (g)]*B86,"Not Found",,2),"")</f>
        <v/>
      </c>
      <c r="F86" t="str" cm="1">
        <f t="array" ref="F86">IF(Sheet3!A86&lt;&gt;"",_xlfn.XLOOKUP(Sheet3!A86,FoodTable[Food],FoodTable[Proteins (g)]*B86,"Not Found",,2),"")</f>
        <v/>
      </c>
      <c r="G86" t="str" cm="1">
        <f t="array" ref="G86">IF(Sheet3!A86&lt;&gt;"",_xlfn.XLOOKUP(Sheet3!A86,FoodTable[Food],FoodTable[Fibers]*B86,"Not Found",,2),"")</f>
        <v/>
      </c>
      <c r="H86" t="str" cm="1">
        <f t="array" ref="H86">IF(Sheet3!A86&lt;&gt;"",_xlfn.XLOOKUP(Sheet3!A86,FoodTable[Food],FoodTable[Sugars]*B86,"Not Found",,2),"")</f>
        <v/>
      </c>
    </row>
    <row r="87" spans="2:8" x14ac:dyDescent="0.2">
      <c r="B87" t="str">
        <f t="shared" si="1"/>
        <v/>
      </c>
      <c r="C87" s="6" t="str">
        <f>IF(Sheet3!A87&lt;&gt;"",_xlfn.XLOOKUP(Sheet3!A87,FoodTable[Food],FoodTable[Per Unit],"Not Found",,2),"")</f>
        <v/>
      </c>
      <c r="D87" t="str" cm="1">
        <f t="array" ref="D87">IF(Sheet3!A87&lt;&gt;"",_xlfn.XLOOKUP(Sheet3!A87,FoodTable[Food],FoodTable[Calories (kcal)]*Sheet3!B87,"Not Found",,2),"")</f>
        <v/>
      </c>
      <c r="E87" t="str" cm="1">
        <f t="array" ref="E87">IF(Sheet3!A87&lt;&gt;"",_xlfn.XLOOKUP(Sheet3!A87,FoodTable[Food],FoodTable[Fats (g)]*B87,"Not Found",,2),"")</f>
        <v/>
      </c>
      <c r="F87" t="str" cm="1">
        <f t="array" ref="F87">IF(Sheet3!A87&lt;&gt;"",_xlfn.XLOOKUP(Sheet3!A87,FoodTable[Food],FoodTable[Proteins (g)]*B87,"Not Found",,2),"")</f>
        <v/>
      </c>
      <c r="G87" t="str" cm="1">
        <f t="array" ref="G87">IF(Sheet3!A87&lt;&gt;"",_xlfn.XLOOKUP(Sheet3!A87,FoodTable[Food],FoodTable[Fibers]*B87,"Not Found",,2),"")</f>
        <v/>
      </c>
      <c r="H87" t="str" cm="1">
        <f t="array" ref="H87">IF(Sheet3!A87&lt;&gt;"",_xlfn.XLOOKUP(Sheet3!A87,FoodTable[Food],FoodTable[Sugars]*B87,"Not Found",,2),"")</f>
        <v/>
      </c>
    </row>
    <row r="88" spans="2:8" x14ac:dyDescent="0.2">
      <c r="B88" t="str">
        <f t="shared" si="1"/>
        <v/>
      </c>
      <c r="C88" s="6" t="str">
        <f>IF(Sheet3!A88&lt;&gt;"",_xlfn.XLOOKUP(Sheet3!A88,FoodTable[Food],FoodTable[Per Unit],"Not Found",,2),"")</f>
        <v/>
      </c>
      <c r="D88" t="str" cm="1">
        <f t="array" ref="D88">IF(Sheet3!A88&lt;&gt;"",_xlfn.XLOOKUP(Sheet3!A88,FoodTable[Food],FoodTable[Calories (kcal)]*Sheet3!B88,"Not Found",,2),"")</f>
        <v/>
      </c>
      <c r="E88" t="str" cm="1">
        <f t="array" ref="E88">IF(Sheet3!A88&lt;&gt;"",_xlfn.XLOOKUP(Sheet3!A88,FoodTable[Food],FoodTable[Fats (g)]*B88,"Not Found",,2),"")</f>
        <v/>
      </c>
      <c r="F88" t="str" cm="1">
        <f t="array" ref="F88">IF(Sheet3!A88&lt;&gt;"",_xlfn.XLOOKUP(Sheet3!A88,FoodTable[Food],FoodTable[Proteins (g)]*B88,"Not Found",,2),"")</f>
        <v/>
      </c>
      <c r="G88" t="str" cm="1">
        <f t="array" ref="G88">IF(Sheet3!A88&lt;&gt;"",_xlfn.XLOOKUP(Sheet3!A88,FoodTable[Food],FoodTable[Fibers]*B88,"Not Found",,2),"")</f>
        <v/>
      </c>
      <c r="H88" t="str" cm="1">
        <f t="array" ref="H88">IF(Sheet3!A88&lt;&gt;"",_xlfn.XLOOKUP(Sheet3!A88,FoodTable[Food],FoodTable[Sugars]*B88,"Not Found",,2),"")</f>
        <v/>
      </c>
    </row>
    <row r="89" spans="2:8" x14ac:dyDescent="0.2">
      <c r="B89" t="str">
        <f t="shared" si="1"/>
        <v/>
      </c>
      <c r="C89" s="6" t="str">
        <f>IF(Sheet3!A89&lt;&gt;"",_xlfn.XLOOKUP(Sheet3!A89,FoodTable[Food],FoodTable[Per Unit],"Not Found",,2),"")</f>
        <v/>
      </c>
      <c r="D89" t="str" cm="1">
        <f t="array" ref="D89">IF(Sheet3!A89&lt;&gt;"",_xlfn.XLOOKUP(Sheet3!A89,FoodTable[Food],FoodTable[Calories (kcal)]*Sheet3!B89,"Not Found",,2),"")</f>
        <v/>
      </c>
      <c r="E89" t="str" cm="1">
        <f t="array" ref="E89">IF(Sheet3!A89&lt;&gt;"",_xlfn.XLOOKUP(Sheet3!A89,FoodTable[Food],FoodTable[Fats (g)]*B89,"Not Found",,2),"")</f>
        <v/>
      </c>
      <c r="F89" t="str" cm="1">
        <f t="array" ref="F89">IF(Sheet3!A89&lt;&gt;"",_xlfn.XLOOKUP(Sheet3!A89,FoodTable[Food],FoodTable[Proteins (g)]*B89,"Not Found",,2),"")</f>
        <v/>
      </c>
      <c r="G89" t="str" cm="1">
        <f t="array" ref="G89">IF(Sheet3!A89&lt;&gt;"",_xlfn.XLOOKUP(Sheet3!A89,FoodTable[Food],FoodTable[Fibers]*B89,"Not Found",,2),"")</f>
        <v/>
      </c>
      <c r="H89" t="str" cm="1">
        <f t="array" ref="H89">IF(Sheet3!A89&lt;&gt;"",_xlfn.XLOOKUP(Sheet3!A89,FoodTable[Food],FoodTable[Sugars]*B89,"Not Found",,2),"")</f>
        <v/>
      </c>
    </row>
    <row r="90" spans="2:8" x14ac:dyDescent="0.2">
      <c r="B90" t="str">
        <f t="shared" si="1"/>
        <v/>
      </c>
      <c r="C90" s="6" t="str">
        <f>IF(Sheet3!A90&lt;&gt;"",_xlfn.XLOOKUP(Sheet3!A90,FoodTable[Food],FoodTable[Per Unit],"Not Found",,2),"")</f>
        <v/>
      </c>
      <c r="D90" t="str" cm="1">
        <f t="array" ref="D90">IF(Sheet3!A90&lt;&gt;"",_xlfn.XLOOKUP(Sheet3!A90,FoodTable[Food],FoodTable[Calories (kcal)]*Sheet3!B90,"Not Found",,2),"")</f>
        <v/>
      </c>
      <c r="E90" t="str" cm="1">
        <f t="array" ref="E90">IF(Sheet3!A90&lt;&gt;"",_xlfn.XLOOKUP(Sheet3!A90,FoodTable[Food],FoodTable[Fats (g)]*B90,"Not Found",,2),"")</f>
        <v/>
      </c>
      <c r="F90" t="str" cm="1">
        <f t="array" ref="F90">IF(Sheet3!A90&lt;&gt;"",_xlfn.XLOOKUP(Sheet3!A90,FoodTable[Food],FoodTable[Proteins (g)]*B90,"Not Found",,2),"")</f>
        <v/>
      </c>
      <c r="G90" t="str" cm="1">
        <f t="array" ref="G90">IF(Sheet3!A90&lt;&gt;"",_xlfn.XLOOKUP(Sheet3!A90,FoodTable[Food],FoodTable[Fibers]*B90,"Not Found",,2),"")</f>
        <v/>
      </c>
      <c r="H90" t="str" cm="1">
        <f t="array" ref="H90">IF(Sheet3!A90&lt;&gt;"",_xlfn.XLOOKUP(Sheet3!A90,FoodTable[Food],FoodTable[Sugars]*B90,"Not Found",,2),"")</f>
        <v/>
      </c>
    </row>
    <row r="91" spans="2:8" x14ac:dyDescent="0.2">
      <c r="B91" t="str">
        <f t="shared" si="1"/>
        <v/>
      </c>
      <c r="C91" s="6" t="str">
        <f>IF(Sheet3!A91&lt;&gt;"",_xlfn.XLOOKUP(Sheet3!A91,FoodTable[Food],FoodTable[Per Unit],"Not Found",,2),"")</f>
        <v/>
      </c>
      <c r="D91" t="str" cm="1">
        <f t="array" ref="D91">IF(Sheet3!A91&lt;&gt;"",_xlfn.XLOOKUP(Sheet3!A91,FoodTable[Food],FoodTable[Calories (kcal)]*Sheet3!B91,"Not Found",,2),"")</f>
        <v/>
      </c>
      <c r="E91" t="str" cm="1">
        <f t="array" ref="E91">IF(Sheet3!A91&lt;&gt;"",_xlfn.XLOOKUP(Sheet3!A91,FoodTable[Food],FoodTable[Fats (g)]*B91,"Not Found",,2),"")</f>
        <v/>
      </c>
      <c r="F91" t="str" cm="1">
        <f t="array" ref="F91">IF(Sheet3!A91&lt;&gt;"",_xlfn.XLOOKUP(Sheet3!A91,FoodTable[Food],FoodTable[Proteins (g)]*B91,"Not Found",,2),"")</f>
        <v/>
      </c>
      <c r="G91" t="str" cm="1">
        <f t="array" ref="G91">IF(Sheet3!A91&lt;&gt;"",_xlfn.XLOOKUP(Sheet3!A91,FoodTable[Food],FoodTable[Fibers]*B91,"Not Found",,2),"")</f>
        <v/>
      </c>
      <c r="H91" t="str" cm="1">
        <f t="array" ref="H91">IF(Sheet3!A91&lt;&gt;"",_xlfn.XLOOKUP(Sheet3!A91,FoodTable[Food],FoodTable[Sugars]*B91,"Not Found",,2),"")</f>
        <v/>
      </c>
    </row>
    <row r="92" spans="2:8" x14ac:dyDescent="0.2">
      <c r="B92" t="str">
        <f t="shared" si="1"/>
        <v/>
      </c>
      <c r="C92" s="6" t="str">
        <f>IF(Sheet3!A92&lt;&gt;"",_xlfn.XLOOKUP(Sheet3!A92,FoodTable[Food],FoodTable[Per Unit],"Not Found",,2),"")</f>
        <v/>
      </c>
      <c r="D92" t="str" cm="1">
        <f t="array" ref="D92">IF(Sheet3!A92&lt;&gt;"",_xlfn.XLOOKUP(Sheet3!A92,FoodTable[Food],FoodTable[Calories (kcal)]*Sheet3!B92,"Not Found",,2),"")</f>
        <v/>
      </c>
      <c r="E92" t="str" cm="1">
        <f t="array" ref="E92">IF(Sheet3!A92&lt;&gt;"",_xlfn.XLOOKUP(Sheet3!A92,FoodTable[Food],FoodTable[Fats (g)]*B92,"Not Found",,2),"")</f>
        <v/>
      </c>
      <c r="F92" t="str" cm="1">
        <f t="array" ref="F92">IF(Sheet3!A92&lt;&gt;"",_xlfn.XLOOKUP(Sheet3!A92,FoodTable[Food],FoodTable[Proteins (g)]*B92,"Not Found",,2),"")</f>
        <v/>
      </c>
      <c r="G92" t="str" cm="1">
        <f t="array" ref="G92">IF(Sheet3!A92&lt;&gt;"",_xlfn.XLOOKUP(Sheet3!A92,FoodTable[Food],FoodTable[Fibers]*B92,"Not Found",,2),"")</f>
        <v/>
      </c>
      <c r="H92" t="str" cm="1">
        <f t="array" ref="H92">IF(Sheet3!A92&lt;&gt;"",_xlfn.XLOOKUP(Sheet3!A92,FoodTable[Food],FoodTable[Sugars]*B92,"Not Found",,2),"")</f>
        <v/>
      </c>
    </row>
    <row r="93" spans="2:8" x14ac:dyDescent="0.2">
      <c r="B93" t="str">
        <f t="shared" si="1"/>
        <v/>
      </c>
      <c r="C93" s="6" t="str">
        <f>IF(Sheet3!A93&lt;&gt;"",_xlfn.XLOOKUP(Sheet3!A93,FoodTable[Food],FoodTable[Per Unit],"Not Found",,2),"")</f>
        <v/>
      </c>
      <c r="D93" t="str" cm="1">
        <f t="array" ref="D93">IF(Sheet3!A93&lt;&gt;"",_xlfn.XLOOKUP(Sheet3!A93,FoodTable[Food],FoodTable[Calories (kcal)]*Sheet3!B93,"Not Found",,2),"")</f>
        <v/>
      </c>
      <c r="E93" t="str" cm="1">
        <f t="array" ref="E93">IF(Sheet3!A93&lt;&gt;"",_xlfn.XLOOKUP(Sheet3!A93,FoodTable[Food],FoodTable[Fats (g)]*B93,"Not Found",,2),"")</f>
        <v/>
      </c>
      <c r="F93" t="str" cm="1">
        <f t="array" ref="F93">IF(Sheet3!A93&lt;&gt;"",_xlfn.XLOOKUP(Sheet3!A93,FoodTable[Food],FoodTable[Proteins (g)]*B93,"Not Found",,2),"")</f>
        <v/>
      </c>
      <c r="G93" t="str" cm="1">
        <f t="array" ref="G93">IF(Sheet3!A93&lt;&gt;"",_xlfn.XLOOKUP(Sheet3!A93,FoodTable[Food],FoodTable[Fibers]*B93,"Not Found",,2),"")</f>
        <v/>
      </c>
      <c r="H93" t="str" cm="1">
        <f t="array" ref="H93">IF(Sheet3!A93&lt;&gt;"",_xlfn.XLOOKUP(Sheet3!A93,FoodTable[Food],FoodTable[Sugars]*B93,"Not Found",,2),"")</f>
        <v/>
      </c>
    </row>
    <row r="94" spans="2:8" x14ac:dyDescent="0.2">
      <c r="B94" t="str">
        <f t="shared" si="1"/>
        <v/>
      </c>
      <c r="C94" s="6" t="str">
        <f>IF(Sheet3!A94&lt;&gt;"",_xlfn.XLOOKUP(Sheet3!A94,FoodTable[Food],FoodTable[Per Unit],"Not Found",,2),"")</f>
        <v/>
      </c>
      <c r="D94" t="str" cm="1">
        <f t="array" ref="D94">IF(Sheet3!A94&lt;&gt;"",_xlfn.XLOOKUP(Sheet3!A94,FoodTable[Food],FoodTable[Calories (kcal)]*Sheet3!B94,"Not Found",,2),"")</f>
        <v/>
      </c>
      <c r="E94" t="str" cm="1">
        <f t="array" ref="E94">IF(Sheet3!A94&lt;&gt;"",_xlfn.XLOOKUP(Sheet3!A94,FoodTable[Food],FoodTable[Fats (g)]*B94,"Not Found",,2),"")</f>
        <v/>
      </c>
      <c r="F94" t="str" cm="1">
        <f t="array" ref="F94">IF(Sheet3!A94&lt;&gt;"",_xlfn.XLOOKUP(Sheet3!A94,FoodTable[Food],FoodTable[Proteins (g)]*B94,"Not Found",,2),"")</f>
        <v/>
      </c>
      <c r="G94" t="str" cm="1">
        <f t="array" ref="G94">IF(Sheet3!A94&lt;&gt;"",_xlfn.XLOOKUP(Sheet3!A94,FoodTable[Food],FoodTable[Fibers]*B94,"Not Found",,2),"")</f>
        <v/>
      </c>
      <c r="H94" t="str" cm="1">
        <f t="array" ref="H94">IF(Sheet3!A94&lt;&gt;"",_xlfn.XLOOKUP(Sheet3!A94,FoodTable[Food],FoodTable[Sugars]*B94,"Not Found",,2),"")</f>
        <v/>
      </c>
    </row>
    <row r="95" spans="2:8" x14ac:dyDescent="0.2">
      <c r="B95" t="str">
        <f t="shared" si="1"/>
        <v/>
      </c>
      <c r="C95" s="6" t="str">
        <f>IF(Sheet3!A95&lt;&gt;"",_xlfn.XLOOKUP(Sheet3!A95,FoodTable[Food],FoodTable[Per Unit],"Not Found",,2),"")</f>
        <v/>
      </c>
      <c r="D95" t="str" cm="1">
        <f t="array" ref="D95">IF(Sheet3!A95&lt;&gt;"",_xlfn.XLOOKUP(Sheet3!A95,FoodTable[Food],FoodTable[Calories (kcal)]*Sheet3!B95,"Not Found",,2),"")</f>
        <v/>
      </c>
      <c r="E95" t="str" cm="1">
        <f t="array" ref="E95">IF(Sheet3!A95&lt;&gt;"",_xlfn.XLOOKUP(Sheet3!A95,FoodTable[Food],FoodTable[Fats (g)]*B95,"Not Found",,2),"")</f>
        <v/>
      </c>
      <c r="F95" t="str" cm="1">
        <f t="array" ref="F95">IF(Sheet3!A95&lt;&gt;"",_xlfn.XLOOKUP(Sheet3!A95,FoodTable[Food],FoodTable[Proteins (g)]*B95,"Not Found",,2),"")</f>
        <v/>
      </c>
      <c r="G95" t="str" cm="1">
        <f t="array" ref="G95">IF(Sheet3!A95&lt;&gt;"",_xlfn.XLOOKUP(Sheet3!A95,FoodTable[Food],FoodTable[Fibers]*B95,"Not Found",,2),"")</f>
        <v/>
      </c>
      <c r="H95" t="str" cm="1">
        <f t="array" ref="H95">IF(Sheet3!A95&lt;&gt;"",_xlfn.XLOOKUP(Sheet3!A95,FoodTable[Food],FoodTable[Sugars]*B95,"Not Found",,2),"")</f>
        <v/>
      </c>
    </row>
    <row r="96" spans="2:8" x14ac:dyDescent="0.2">
      <c r="B96" t="str">
        <f t="shared" si="1"/>
        <v/>
      </c>
      <c r="C96" s="6" t="str">
        <f>IF(Sheet3!A96&lt;&gt;"",_xlfn.XLOOKUP(Sheet3!A96,FoodTable[Food],FoodTable[Per Unit],"Not Found",,2),"")</f>
        <v/>
      </c>
      <c r="D96" t="str" cm="1">
        <f t="array" ref="D96">IF(Sheet3!A96&lt;&gt;"",_xlfn.XLOOKUP(Sheet3!A96,FoodTable[Food],FoodTable[Calories (kcal)]*Sheet3!B96,"Not Found",,2),"")</f>
        <v/>
      </c>
      <c r="E96" t="str" cm="1">
        <f t="array" ref="E96">IF(Sheet3!A96&lt;&gt;"",_xlfn.XLOOKUP(Sheet3!A96,FoodTable[Food],FoodTable[Fats (g)]*B96,"Not Found",,2),"")</f>
        <v/>
      </c>
      <c r="F96" t="str" cm="1">
        <f t="array" ref="F96">IF(Sheet3!A96&lt;&gt;"",_xlfn.XLOOKUP(Sheet3!A96,FoodTable[Food],FoodTable[Proteins (g)]*B96,"Not Found",,2),"")</f>
        <v/>
      </c>
      <c r="G96" t="str" cm="1">
        <f t="array" ref="G96">IF(Sheet3!A96&lt;&gt;"",_xlfn.XLOOKUP(Sheet3!A96,FoodTable[Food],FoodTable[Fibers]*B96,"Not Found",,2),"")</f>
        <v/>
      </c>
      <c r="H96" t="str" cm="1">
        <f t="array" ref="H96">IF(Sheet3!A96&lt;&gt;"",_xlfn.XLOOKUP(Sheet3!A96,FoodTable[Food],FoodTable[Sugars]*B96,"Not Found",,2),"")</f>
        <v/>
      </c>
    </row>
    <row r="97" spans="2:8" x14ac:dyDescent="0.2">
      <c r="B97" t="str">
        <f t="shared" si="1"/>
        <v/>
      </c>
      <c r="C97" s="6" t="str">
        <f>IF(Sheet3!A97&lt;&gt;"",_xlfn.XLOOKUP(Sheet3!A97,FoodTable[Food],FoodTable[Per Unit],"Not Found",,2),"")</f>
        <v/>
      </c>
      <c r="D97" t="str" cm="1">
        <f t="array" ref="D97">IF(Sheet3!A97&lt;&gt;"",_xlfn.XLOOKUP(Sheet3!A97,FoodTable[Food],FoodTable[Calories (kcal)]*Sheet3!B97,"Not Found",,2),"")</f>
        <v/>
      </c>
      <c r="E97" t="str" cm="1">
        <f t="array" ref="E97">IF(Sheet3!A97&lt;&gt;"",_xlfn.XLOOKUP(Sheet3!A97,FoodTable[Food],FoodTable[Fats (g)]*B97,"Not Found",,2),"")</f>
        <v/>
      </c>
      <c r="F97" t="str" cm="1">
        <f t="array" ref="F97">IF(Sheet3!A97&lt;&gt;"",_xlfn.XLOOKUP(Sheet3!A97,FoodTable[Food],FoodTable[Proteins (g)]*B97,"Not Found",,2),"")</f>
        <v/>
      </c>
      <c r="G97" t="str" cm="1">
        <f t="array" ref="G97">IF(Sheet3!A97&lt;&gt;"",_xlfn.XLOOKUP(Sheet3!A97,FoodTable[Food],FoodTable[Fibers]*B97,"Not Found",,2),"")</f>
        <v/>
      </c>
      <c r="H97" t="str" cm="1">
        <f t="array" ref="H97">IF(Sheet3!A97&lt;&gt;"",_xlfn.XLOOKUP(Sheet3!A97,FoodTable[Food],FoodTable[Sugars]*B97,"Not Found",,2),"")</f>
        <v/>
      </c>
    </row>
    <row r="98" spans="2:8" x14ac:dyDescent="0.2">
      <c r="B98" t="str">
        <f t="shared" si="1"/>
        <v/>
      </c>
      <c r="C98" s="6" t="str">
        <f>IF(Sheet3!A98&lt;&gt;"",_xlfn.XLOOKUP(Sheet3!A98,FoodTable[Food],FoodTable[Per Unit],"Not Found",,2),"")</f>
        <v/>
      </c>
      <c r="D98" t="str" cm="1">
        <f t="array" ref="D98">IF(Sheet3!A98&lt;&gt;"",_xlfn.XLOOKUP(Sheet3!A98,FoodTable[Food],FoodTable[Calories (kcal)]*Sheet3!B98,"Not Found",,2),"")</f>
        <v/>
      </c>
      <c r="E98" t="str" cm="1">
        <f t="array" ref="E98">IF(Sheet3!A98&lt;&gt;"",_xlfn.XLOOKUP(Sheet3!A98,FoodTable[Food],FoodTable[Fats (g)]*B98,"Not Found",,2),"")</f>
        <v/>
      </c>
      <c r="F98" t="str" cm="1">
        <f t="array" ref="F98">IF(Sheet3!A98&lt;&gt;"",_xlfn.XLOOKUP(Sheet3!A98,FoodTable[Food],FoodTable[Proteins (g)]*B98,"Not Found",,2),"")</f>
        <v/>
      </c>
      <c r="G98" t="str" cm="1">
        <f t="array" ref="G98">IF(Sheet3!A98&lt;&gt;"",_xlfn.XLOOKUP(Sheet3!A98,FoodTable[Food],FoodTable[Fibers]*B98,"Not Found",,2),"")</f>
        <v/>
      </c>
      <c r="H98" t="str" cm="1">
        <f t="array" ref="H98">IF(Sheet3!A98&lt;&gt;"",_xlfn.XLOOKUP(Sheet3!A98,FoodTable[Food],FoodTable[Sugars]*B98,"Not Found",,2),"")</f>
        <v/>
      </c>
    </row>
    <row r="99" spans="2:8" x14ac:dyDescent="0.2">
      <c r="B99" t="str">
        <f t="shared" si="1"/>
        <v/>
      </c>
      <c r="C99" s="6" t="str">
        <f>IF(Sheet3!A99&lt;&gt;"",_xlfn.XLOOKUP(Sheet3!A99,FoodTable[Food],FoodTable[Per Unit],"Not Found",,2),"")</f>
        <v/>
      </c>
      <c r="D99" t="str" cm="1">
        <f t="array" ref="D99">IF(Sheet3!A99&lt;&gt;"",_xlfn.XLOOKUP(Sheet3!A99,FoodTable[Food],FoodTable[Calories (kcal)]*Sheet3!B99,"Not Found",,2),"")</f>
        <v/>
      </c>
      <c r="E99" t="str" cm="1">
        <f t="array" ref="E99">IF(Sheet3!A99&lt;&gt;"",_xlfn.XLOOKUP(Sheet3!A99,FoodTable[Food],FoodTable[Fats (g)]*B99,"Not Found",,2),"")</f>
        <v/>
      </c>
      <c r="F99" t="str" cm="1">
        <f t="array" ref="F99">IF(Sheet3!A99&lt;&gt;"",_xlfn.XLOOKUP(Sheet3!A99,FoodTable[Food],FoodTable[Proteins (g)]*B99,"Not Found",,2),"")</f>
        <v/>
      </c>
      <c r="G99" t="str" cm="1">
        <f t="array" ref="G99">IF(Sheet3!A99&lt;&gt;"",_xlfn.XLOOKUP(Sheet3!A99,FoodTable[Food],FoodTable[Fibers]*B99,"Not Found",,2),"")</f>
        <v/>
      </c>
      <c r="H99" t="str" cm="1">
        <f t="array" ref="H99">IF(Sheet3!A99&lt;&gt;"",_xlfn.XLOOKUP(Sheet3!A99,FoodTable[Food],FoodTable[Sugars]*B99,"Not Found",,2),"")</f>
        <v/>
      </c>
    </row>
    <row r="100" spans="2:8" x14ac:dyDescent="0.2">
      <c r="B100" t="str">
        <f t="shared" si="1"/>
        <v/>
      </c>
      <c r="C100" s="6" t="str">
        <f>IF(Sheet3!A100&lt;&gt;"",_xlfn.XLOOKUP(Sheet3!A100,FoodTable[Food],FoodTable[Per Unit],"Not Found",,2),"")</f>
        <v/>
      </c>
      <c r="D100" t="str" cm="1">
        <f t="array" ref="D100">IF(Sheet3!A100&lt;&gt;"",_xlfn.XLOOKUP(Sheet3!A100,FoodTable[Food],FoodTable[Calories (kcal)]*Sheet3!B100,"Not Found",,2),"")</f>
        <v/>
      </c>
      <c r="E100" t="str" cm="1">
        <f t="array" ref="E100">IF(Sheet3!A100&lt;&gt;"",_xlfn.XLOOKUP(Sheet3!A100,FoodTable[Food],FoodTable[Fats (g)]*B100,"Not Found",,2),"")</f>
        <v/>
      </c>
      <c r="F100" t="str" cm="1">
        <f t="array" ref="F100">IF(Sheet3!A100&lt;&gt;"",_xlfn.XLOOKUP(Sheet3!A100,FoodTable[Food],FoodTable[Proteins (g)]*B100,"Not Found",,2),"")</f>
        <v/>
      </c>
      <c r="G100" t="str" cm="1">
        <f t="array" ref="G100">IF(Sheet3!A100&lt;&gt;"",_xlfn.XLOOKUP(Sheet3!A100,FoodTable[Food],FoodTable[Fibers]*B100,"Not Found",,2),"")</f>
        <v/>
      </c>
      <c r="H100" t="str" cm="1">
        <f t="array" ref="H100">IF(Sheet3!A100&lt;&gt;"",_xlfn.XLOOKUP(Sheet3!A100,FoodTable[Food],FoodTable[Sugars]*B100,"Not Found",,2),"")</f>
        <v/>
      </c>
    </row>
    <row r="101" spans="2:8" x14ac:dyDescent="0.2">
      <c r="B101" t="str">
        <f t="shared" si="1"/>
        <v/>
      </c>
      <c r="C101" s="6" t="str">
        <f>IF(Sheet3!A101&lt;&gt;"",_xlfn.XLOOKUP(Sheet3!A101,FoodTable[Food],FoodTable[Per Unit],"Not Found",,2),"")</f>
        <v/>
      </c>
      <c r="D101" t="str" cm="1">
        <f t="array" ref="D101">IF(Sheet3!A101&lt;&gt;"",_xlfn.XLOOKUP(Sheet3!A101,FoodTable[Food],FoodTable[Calories (kcal)]*Sheet3!B101,"Not Found",,2),"")</f>
        <v/>
      </c>
      <c r="E101" t="str" cm="1">
        <f t="array" ref="E101">IF(Sheet3!A101&lt;&gt;"",_xlfn.XLOOKUP(Sheet3!A101,FoodTable[Food],FoodTable[Fats (g)]*B101,"Not Found",,2),"")</f>
        <v/>
      </c>
      <c r="F101" t="str" cm="1">
        <f t="array" ref="F101">IF(Sheet3!A101&lt;&gt;"",_xlfn.XLOOKUP(Sheet3!A101,FoodTable[Food],FoodTable[Proteins (g)]*B101,"Not Found",,2),"")</f>
        <v/>
      </c>
      <c r="G101" t="str" cm="1">
        <f t="array" ref="G101">IF(Sheet3!A101&lt;&gt;"",_xlfn.XLOOKUP(Sheet3!A101,FoodTable[Food],FoodTable[Fibers]*B101,"Not Found",,2),"")</f>
        <v/>
      </c>
      <c r="H101" t="str" cm="1">
        <f t="array" ref="H101">IF(Sheet3!A101&lt;&gt;"",_xlfn.XLOOKUP(Sheet3!A101,FoodTable[Food],FoodTable[Sugars]*B101,"Not Found",,2),"")</f>
        <v/>
      </c>
    </row>
    <row r="102" spans="2:8" x14ac:dyDescent="0.2">
      <c r="B102" t="str">
        <f t="shared" si="1"/>
        <v/>
      </c>
      <c r="C102" s="6" t="str">
        <f>IF(Sheet3!A102&lt;&gt;"",_xlfn.XLOOKUP(Sheet3!A102,FoodTable[Food],FoodTable[Per Unit],"Not Found",,2),"")</f>
        <v/>
      </c>
      <c r="D102" t="str" cm="1">
        <f t="array" ref="D102">IF(Sheet3!A102&lt;&gt;"",_xlfn.XLOOKUP(Sheet3!A102,FoodTable[Food],FoodTable[Calories (kcal)]*Sheet3!B102,"Not Found",,2),"")</f>
        <v/>
      </c>
      <c r="E102" t="str" cm="1">
        <f t="array" ref="E102">IF(Sheet3!A102&lt;&gt;"",_xlfn.XLOOKUP(Sheet3!A102,FoodTable[Food],FoodTable[Fats (g)]*B102,"Not Found",,2),"")</f>
        <v/>
      </c>
      <c r="F102" t="str" cm="1">
        <f t="array" ref="F102">IF(Sheet3!A102&lt;&gt;"",_xlfn.XLOOKUP(Sheet3!A102,FoodTable[Food],FoodTable[Proteins (g)]*B102,"Not Found",,2),"")</f>
        <v/>
      </c>
      <c r="G102" t="str" cm="1">
        <f t="array" ref="G102">IF(Sheet3!A102&lt;&gt;"",_xlfn.XLOOKUP(Sheet3!A102,FoodTable[Food],FoodTable[Fibers]*B102,"Not Found",,2),"")</f>
        <v/>
      </c>
      <c r="H102" t="str" cm="1">
        <f t="array" ref="H102">IF(Sheet3!A102&lt;&gt;"",_xlfn.XLOOKUP(Sheet3!A102,FoodTable[Food],FoodTable[Sugars]*B102,"Not Found",,2),"")</f>
        <v/>
      </c>
    </row>
    <row r="103" spans="2:8" x14ac:dyDescent="0.2">
      <c r="B103" t="str">
        <f t="shared" si="1"/>
        <v/>
      </c>
      <c r="C103" s="6" t="str">
        <f>IF(Sheet3!A103&lt;&gt;"",_xlfn.XLOOKUP(Sheet3!A103,FoodTable[Food],FoodTable[Per Unit],"Not Found",,2),"")</f>
        <v/>
      </c>
      <c r="D103" t="str" cm="1">
        <f t="array" ref="D103">IF(Sheet3!A103&lt;&gt;"",_xlfn.XLOOKUP(Sheet3!A103,FoodTable[Food],FoodTable[Calories (kcal)]*Sheet3!B103,"Not Found",,2),"")</f>
        <v/>
      </c>
      <c r="E103" t="str" cm="1">
        <f t="array" ref="E103">IF(Sheet3!A103&lt;&gt;"",_xlfn.XLOOKUP(Sheet3!A103,FoodTable[Food],FoodTable[Fats (g)]*B103,"Not Found",,2),"")</f>
        <v/>
      </c>
      <c r="F103" t="str" cm="1">
        <f t="array" ref="F103">IF(Sheet3!A103&lt;&gt;"",_xlfn.XLOOKUP(Sheet3!A103,FoodTable[Food],FoodTable[Proteins (g)]*B103,"Not Found",,2),"")</f>
        <v/>
      </c>
      <c r="G103" t="str" cm="1">
        <f t="array" ref="G103">IF(Sheet3!A103&lt;&gt;"",_xlfn.XLOOKUP(Sheet3!A103,FoodTable[Food],FoodTable[Fibers]*B103,"Not Found",,2),"")</f>
        <v/>
      </c>
      <c r="H103" t="str" cm="1">
        <f t="array" ref="H103">IF(Sheet3!A103&lt;&gt;"",_xlfn.XLOOKUP(Sheet3!A103,FoodTable[Food],FoodTable[Sugars]*B103,"Not Found",,2),"")</f>
        <v/>
      </c>
    </row>
    <row r="104" spans="2:8" x14ac:dyDescent="0.2">
      <c r="B104" t="str">
        <f t="shared" si="1"/>
        <v/>
      </c>
      <c r="C104" s="6" t="str">
        <f>IF(Sheet3!A104&lt;&gt;"",_xlfn.XLOOKUP(Sheet3!A104,FoodTable[Food],FoodTable[Per Unit],"Not Found",,2),"")</f>
        <v/>
      </c>
      <c r="D104" t="str" cm="1">
        <f t="array" ref="D104">IF(Sheet3!A104&lt;&gt;"",_xlfn.XLOOKUP(Sheet3!A104,FoodTable[Food],FoodTable[Calories (kcal)]*Sheet3!B104,"Not Found",,2),"")</f>
        <v/>
      </c>
      <c r="E104" t="str" cm="1">
        <f t="array" ref="E104">IF(Sheet3!A104&lt;&gt;"",_xlfn.XLOOKUP(Sheet3!A104,FoodTable[Food],FoodTable[Fats (g)]*B104,"Not Found",,2),"")</f>
        <v/>
      </c>
      <c r="F104" t="str" cm="1">
        <f t="array" ref="F104">IF(Sheet3!A104&lt;&gt;"",_xlfn.XLOOKUP(Sheet3!A104,FoodTable[Food],FoodTable[Proteins (g)]*B104,"Not Found",,2),"")</f>
        <v/>
      </c>
      <c r="G104" t="str" cm="1">
        <f t="array" ref="G104">IF(Sheet3!A104&lt;&gt;"",_xlfn.XLOOKUP(Sheet3!A104,FoodTable[Food],FoodTable[Fibers]*B104,"Not Found",,2),"")</f>
        <v/>
      </c>
      <c r="H104" t="str" cm="1">
        <f t="array" ref="H104">IF(Sheet3!A104&lt;&gt;"",_xlfn.XLOOKUP(Sheet3!A104,FoodTable[Food],FoodTable[Sugars]*B104,"Not Found",,2),"")</f>
        <v/>
      </c>
    </row>
    <row r="105" spans="2:8" x14ac:dyDescent="0.2">
      <c r="B105" t="str">
        <f t="shared" si="1"/>
        <v/>
      </c>
      <c r="C105" s="6" t="str">
        <f>IF(Sheet3!A105&lt;&gt;"",_xlfn.XLOOKUP(Sheet3!A105,FoodTable[Food],FoodTable[Per Unit],"Not Found",,2),"")</f>
        <v/>
      </c>
      <c r="D105" t="str" cm="1">
        <f t="array" ref="D105">IF(Sheet3!A105&lt;&gt;"",_xlfn.XLOOKUP(Sheet3!A105,FoodTable[Food],FoodTable[Calories (kcal)]*Sheet3!B105,"Not Found",,2),"")</f>
        <v/>
      </c>
      <c r="E105" t="str" cm="1">
        <f t="array" ref="E105">IF(Sheet3!A105&lt;&gt;"",_xlfn.XLOOKUP(Sheet3!A105,FoodTable[Food],FoodTable[Fats (g)]*B105,"Not Found",,2),"")</f>
        <v/>
      </c>
      <c r="F105" t="str" cm="1">
        <f t="array" ref="F105">IF(Sheet3!A105&lt;&gt;"",_xlfn.XLOOKUP(Sheet3!A105,FoodTable[Food],FoodTable[Proteins (g)]*B105,"Not Found",,2),"")</f>
        <v/>
      </c>
      <c r="G105" t="str" cm="1">
        <f t="array" ref="G105">IF(Sheet3!A105&lt;&gt;"",_xlfn.XLOOKUP(Sheet3!A105,FoodTable[Food],FoodTable[Fibers]*B105,"Not Found",,2),"")</f>
        <v/>
      </c>
      <c r="H105" t="str" cm="1">
        <f t="array" ref="H105">IF(Sheet3!A105&lt;&gt;"",_xlfn.XLOOKUP(Sheet3!A105,FoodTable[Food],FoodTable[Sugars]*B105,"Not Found",,2),"")</f>
        <v/>
      </c>
    </row>
    <row r="106" spans="2:8" x14ac:dyDescent="0.2">
      <c r="B106" t="str">
        <f t="shared" si="1"/>
        <v/>
      </c>
      <c r="C106" s="6" t="str">
        <f>IF(Sheet3!A106&lt;&gt;"",_xlfn.XLOOKUP(Sheet3!A106,FoodTable[Food],FoodTable[Per Unit],"Not Found",,2),"")</f>
        <v/>
      </c>
      <c r="D106" t="str" cm="1">
        <f t="array" ref="D106">IF(Sheet3!A106&lt;&gt;"",_xlfn.XLOOKUP(Sheet3!A106,FoodTable[Food],FoodTable[Calories (kcal)]*Sheet3!B106,"Not Found",,2),"")</f>
        <v/>
      </c>
      <c r="E106" t="str" cm="1">
        <f t="array" ref="E106">IF(Sheet3!A106&lt;&gt;"",_xlfn.XLOOKUP(Sheet3!A106,FoodTable[Food],FoodTable[Fats (g)]*B106,"Not Found",,2),"")</f>
        <v/>
      </c>
      <c r="F106" t="str" cm="1">
        <f t="array" ref="F106">IF(Sheet3!A106&lt;&gt;"",_xlfn.XLOOKUP(Sheet3!A106,FoodTable[Food],FoodTable[Proteins (g)]*B106,"Not Found",,2),"")</f>
        <v/>
      </c>
      <c r="G106" t="str" cm="1">
        <f t="array" ref="G106">IF(Sheet3!A106&lt;&gt;"",_xlfn.XLOOKUP(Sheet3!A106,FoodTable[Food],FoodTable[Fibers]*B106,"Not Found",,2),"")</f>
        <v/>
      </c>
      <c r="H106" t="str" cm="1">
        <f t="array" ref="H106">IF(Sheet3!A106&lt;&gt;"",_xlfn.XLOOKUP(Sheet3!A106,FoodTable[Food],FoodTable[Sugars]*B106,"Not Found",,2),"")</f>
        <v/>
      </c>
    </row>
    <row r="107" spans="2:8" x14ac:dyDescent="0.2">
      <c r="B107" t="str">
        <f t="shared" si="1"/>
        <v/>
      </c>
      <c r="C107" s="6" t="str">
        <f>IF(Sheet3!A107&lt;&gt;"",_xlfn.XLOOKUP(Sheet3!A107,FoodTable[Food],FoodTable[Per Unit],"Not Found",,2),"")</f>
        <v/>
      </c>
      <c r="D107" t="str" cm="1">
        <f t="array" ref="D107">IF(Sheet3!A107&lt;&gt;"",_xlfn.XLOOKUP(Sheet3!A107,FoodTable[Food],FoodTable[Calories (kcal)]*Sheet3!B107,"Not Found",,2),"")</f>
        <v/>
      </c>
      <c r="E107" t="str" cm="1">
        <f t="array" ref="E107">IF(Sheet3!A107&lt;&gt;"",_xlfn.XLOOKUP(Sheet3!A107,FoodTable[Food],FoodTable[Fats (g)]*B107,"Not Found",,2),"")</f>
        <v/>
      </c>
      <c r="F107" t="str" cm="1">
        <f t="array" ref="F107">IF(Sheet3!A107&lt;&gt;"",_xlfn.XLOOKUP(Sheet3!A107,FoodTable[Food],FoodTable[Proteins (g)]*B107,"Not Found",,2),"")</f>
        <v/>
      </c>
      <c r="G107" t="str" cm="1">
        <f t="array" ref="G107">IF(Sheet3!A107&lt;&gt;"",_xlfn.XLOOKUP(Sheet3!A107,FoodTable[Food],FoodTable[Fibers]*B107,"Not Found",,2),"")</f>
        <v/>
      </c>
      <c r="H107" t="str" cm="1">
        <f t="array" ref="H107">IF(Sheet3!A107&lt;&gt;"",_xlfn.XLOOKUP(Sheet3!A107,FoodTable[Food],FoodTable[Sugars]*B107,"Not Found",,2),"")</f>
        <v/>
      </c>
    </row>
    <row r="108" spans="2:8" x14ac:dyDescent="0.2">
      <c r="B108" t="str">
        <f t="shared" si="1"/>
        <v/>
      </c>
      <c r="C108" s="6" t="str">
        <f>IF(Sheet3!A108&lt;&gt;"",_xlfn.XLOOKUP(Sheet3!A108,FoodTable[Food],FoodTable[Per Unit],"Not Found",,2),"")</f>
        <v/>
      </c>
      <c r="D108" t="str" cm="1">
        <f t="array" ref="D108">IF(Sheet3!A108&lt;&gt;"",_xlfn.XLOOKUP(Sheet3!A108,FoodTable[Food],FoodTable[Calories (kcal)]*Sheet3!B108,"Not Found",,2),"")</f>
        <v/>
      </c>
      <c r="E108" t="str" cm="1">
        <f t="array" ref="E108">IF(Sheet3!A108&lt;&gt;"",_xlfn.XLOOKUP(Sheet3!A108,FoodTable[Food],FoodTable[Fats (g)]*B108,"Not Found",,2),"")</f>
        <v/>
      </c>
      <c r="F108" t="str" cm="1">
        <f t="array" ref="F108">IF(Sheet3!A108&lt;&gt;"",_xlfn.XLOOKUP(Sheet3!A108,FoodTable[Food],FoodTable[Proteins (g)]*B108,"Not Found",,2),"")</f>
        <v/>
      </c>
      <c r="G108" t="str" cm="1">
        <f t="array" ref="G108">IF(Sheet3!A108&lt;&gt;"",_xlfn.XLOOKUP(Sheet3!A108,FoodTable[Food],FoodTable[Fibers]*B108,"Not Found",,2),"")</f>
        <v/>
      </c>
      <c r="H108" t="str" cm="1">
        <f t="array" ref="H108">IF(Sheet3!A108&lt;&gt;"",_xlfn.XLOOKUP(Sheet3!A108,FoodTable[Food],FoodTable[Sugars]*B108,"Not Found",,2),"")</f>
        <v/>
      </c>
    </row>
    <row r="109" spans="2:8" x14ac:dyDescent="0.2">
      <c r="B109" t="str">
        <f t="shared" si="1"/>
        <v/>
      </c>
      <c r="C109" s="6" t="str">
        <f>IF(Sheet3!A109&lt;&gt;"",_xlfn.XLOOKUP(Sheet3!A109,FoodTable[Food],FoodTable[Per Unit],"Not Found",,2),"")</f>
        <v/>
      </c>
      <c r="D109" t="str" cm="1">
        <f t="array" ref="D109">IF(Sheet3!A109&lt;&gt;"",_xlfn.XLOOKUP(Sheet3!A109,FoodTable[Food],FoodTable[Calories (kcal)]*Sheet3!B109,"Not Found",,2),"")</f>
        <v/>
      </c>
      <c r="E109" t="str" cm="1">
        <f t="array" ref="E109">IF(Sheet3!A109&lt;&gt;"",_xlfn.XLOOKUP(Sheet3!A109,FoodTable[Food],FoodTable[Fats (g)]*B109,"Not Found",,2),"")</f>
        <v/>
      </c>
      <c r="F109" t="str" cm="1">
        <f t="array" ref="F109">IF(Sheet3!A109&lt;&gt;"",_xlfn.XLOOKUP(Sheet3!A109,FoodTable[Food],FoodTable[Proteins (g)]*B109,"Not Found",,2),"")</f>
        <v/>
      </c>
      <c r="G109" t="str" cm="1">
        <f t="array" ref="G109">IF(Sheet3!A109&lt;&gt;"",_xlfn.XLOOKUP(Sheet3!A109,FoodTable[Food],FoodTable[Fibers]*B109,"Not Found",,2),"")</f>
        <v/>
      </c>
      <c r="H109" t="str" cm="1">
        <f t="array" ref="H109">IF(Sheet3!A109&lt;&gt;"",_xlfn.XLOOKUP(Sheet3!A109,FoodTable[Food],FoodTable[Sugars]*B109,"Not Found",,2),"")</f>
        <v/>
      </c>
    </row>
    <row r="110" spans="2:8" x14ac:dyDescent="0.2">
      <c r="B110" t="str">
        <f t="shared" si="1"/>
        <v/>
      </c>
      <c r="C110" s="6" t="str">
        <f>IF(Sheet3!A110&lt;&gt;"",_xlfn.XLOOKUP(Sheet3!A110,FoodTable[Food],FoodTable[Per Unit],"Not Found",,2),"")</f>
        <v/>
      </c>
      <c r="D110" t="str" cm="1">
        <f t="array" ref="D110">IF(Sheet3!A110&lt;&gt;"",_xlfn.XLOOKUP(Sheet3!A110,FoodTable[Food],FoodTable[Calories (kcal)]*Sheet3!B110,"Not Found",,2),"")</f>
        <v/>
      </c>
      <c r="E110" t="str" cm="1">
        <f t="array" ref="E110">IF(Sheet3!A110&lt;&gt;"",_xlfn.XLOOKUP(Sheet3!A110,FoodTable[Food],FoodTable[Fats (g)]*B110,"Not Found",,2),"")</f>
        <v/>
      </c>
      <c r="F110" t="str" cm="1">
        <f t="array" ref="F110">IF(Sheet3!A110&lt;&gt;"",_xlfn.XLOOKUP(Sheet3!A110,FoodTable[Food],FoodTable[Proteins (g)]*B110,"Not Found",,2),"")</f>
        <v/>
      </c>
      <c r="G110" t="str" cm="1">
        <f t="array" ref="G110">IF(Sheet3!A110&lt;&gt;"",_xlfn.XLOOKUP(Sheet3!A110,FoodTable[Food],FoodTable[Fibers]*B110,"Not Found",,2),"")</f>
        <v/>
      </c>
      <c r="H110" t="str" cm="1">
        <f t="array" ref="H110">IF(Sheet3!A110&lt;&gt;"",_xlfn.XLOOKUP(Sheet3!A110,FoodTable[Food],FoodTable[Sugars]*B110,"Not Found",,2),"")</f>
        <v/>
      </c>
    </row>
    <row r="111" spans="2:8" x14ac:dyDescent="0.2">
      <c r="B111" t="str">
        <f t="shared" si="1"/>
        <v/>
      </c>
      <c r="C111" s="6" t="str">
        <f>IF(Sheet3!A111&lt;&gt;"",_xlfn.XLOOKUP(Sheet3!A111,FoodTable[Food],FoodTable[Per Unit],"Not Found",,2),"")</f>
        <v/>
      </c>
      <c r="D111" t="str" cm="1">
        <f t="array" ref="D111">IF(Sheet3!A111&lt;&gt;"",_xlfn.XLOOKUP(Sheet3!A111,FoodTable[Food],FoodTable[Calories (kcal)]*Sheet3!B111,"Not Found",,2),"")</f>
        <v/>
      </c>
      <c r="E111" t="str" cm="1">
        <f t="array" ref="E111">IF(Sheet3!A111&lt;&gt;"",_xlfn.XLOOKUP(Sheet3!A111,FoodTable[Food],FoodTable[Fats (g)]*B111,"Not Found",,2),"")</f>
        <v/>
      </c>
      <c r="F111" t="str" cm="1">
        <f t="array" ref="F111">IF(Sheet3!A111&lt;&gt;"",_xlfn.XLOOKUP(Sheet3!A111,FoodTable[Food],FoodTable[Proteins (g)]*B111,"Not Found",,2),"")</f>
        <v/>
      </c>
      <c r="G111" t="str" cm="1">
        <f t="array" ref="G111">IF(Sheet3!A111&lt;&gt;"",_xlfn.XLOOKUP(Sheet3!A111,FoodTable[Food],FoodTable[Fibers]*B111,"Not Found",,2),"")</f>
        <v/>
      </c>
      <c r="H111" t="str" cm="1">
        <f t="array" ref="H111">IF(Sheet3!A111&lt;&gt;"",_xlfn.XLOOKUP(Sheet3!A111,FoodTable[Food],FoodTable[Sugars]*B111,"Not Found",,2),"")</f>
        <v/>
      </c>
    </row>
    <row r="112" spans="2:8" x14ac:dyDescent="0.2">
      <c r="B112" t="str">
        <f t="shared" si="1"/>
        <v/>
      </c>
      <c r="C112" s="6" t="str">
        <f>IF(Sheet3!A112&lt;&gt;"",_xlfn.XLOOKUP(Sheet3!A112,FoodTable[Food],FoodTable[Per Unit],"Not Found",,2),"")</f>
        <v/>
      </c>
      <c r="D112" t="str" cm="1">
        <f t="array" ref="D112">IF(Sheet3!A112&lt;&gt;"",_xlfn.XLOOKUP(Sheet3!A112,FoodTable[Food],FoodTable[Calories (kcal)]*Sheet3!B112,"Not Found",,2),"")</f>
        <v/>
      </c>
      <c r="E112" t="str" cm="1">
        <f t="array" ref="E112">IF(Sheet3!A112&lt;&gt;"",_xlfn.XLOOKUP(Sheet3!A112,FoodTable[Food],FoodTable[Fats (g)]*B112,"Not Found",,2),"")</f>
        <v/>
      </c>
      <c r="F112" t="str" cm="1">
        <f t="array" ref="F112">IF(Sheet3!A112&lt;&gt;"",_xlfn.XLOOKUP(Sheet3!A112,FoodTable[Food],FoodTable[Proteins (g)]*B112,"Not Found",,2),"")</f>
        <v/>
      </c>
      <c r="G112" t="str" cm="1">
        <f t="array" ref="G112">IF(Sheet3!A112&lt;&gt;"",_xlfn.XLOOKUP(Sheet3!A112,FoodTable[Food],FoodTable[Fibers]*B112,"Not Found",,2),"")</f>
        <v/>
      </c>
      <c r="H112" t="str" cm="1">
        <f t="array" ref="H112">IF(Sheet3!A112&lt;&gt;"",_xlfn.XLOOKUP(Sheet3!A112,FoodTable[Food],FoodTable[Sugars]*B112,"Not Found",,2),"")</f>
        <v/>
      </c>
    </row>
    <row r="113" spans="2:8" x14ac:dyDescent="0.2">
      <c r="B113" t="str">
        <f t="shared" si="1"/>
        <v/>
      </c>
      <c r="C113" s="6" t="str">
        <f>IF(Sheet3!A113&lt;&gt;"",_xlfn.XLOOKUP(Sheet3!A113,FoodTable[Food],FoodTable[Per Unit],"Not Found",,2),"")</f>
        <v/>
      </c>
      <c r="D113" t="str" cm="1">
        <f t="array" ref="D113">IF(Sheet3!A113&lt;&gt;"",_xlfn.XLOOKUP(Sheet3!A113,FoodTable[Food],FoodTable[Calories (kcal)]*Sheet3!B113,"Not Found",,2),"")</f>
        <v/>
      </c>
      <c r="E113" t="str" cm="1">
        <f t="array" ref="E113">IF(Sheet3!A113&lt;&gt;"",_xlfn.XLOOKUP(Sheet3!A113,FoodTable[Food],FoodTable[Fats (g)]*B113,"Not Found",,2),"")</f>
        <v/>
      </c>
      <c r="F113" t="str" cm="1">
        <f t="array" ref="F113">IF(Sheet3!A113&lt;&gt;"",_xlfn.XLOOKUP(Sheet3!A113,FoodTable[Food],FoodTable[Proteins (g)]*B113,"Not Found",,2),"")</f>
        <v/>
      </c>
      <c r="G113" t="str" cm="1">
        <f t="array" ref="G113">IF(Sheet3!A113&lt;&gt;"",_xlfn.XLOOKUP(Sheet3!A113,FoodTable[Food],FoodTable[Fibers]*B113,"Not Found",,2),"")</f>
        <v/>
      </c>
      <c r="H113" t="str" cm="1">
        <f t="array" ref="H113">IF(Sheet3!A113&lt;&gt;"",_xlfn.XLOOKUP(Sheet3!A113,FoodTable[Food],FoodTable[Sugars]*B113,"Not Found",,2),"")</f>
        <v/>
      </c>
    </row>
    <row r="114" spans="2:8" x14ac:dyDescent="0.2">
      <c r="B114" t="str">
        <f t="shared" si="1"/>
        <v/>
      </c>
      <c r="C114" s="6" t="str">
        <f>IF(Sheet3!A114&lt;&gt;"",_xlfn.XLOOKUP(Sheet3!A114,FoodTable[Food],FoodTable[Per Unit],"Not Found",,2),"")</f>
        <v/>
      </c>
      <c r="D114" t="str" cm="1">
        <f t="array" ref="D114">IF(Sheet3!A114&lt;&gt;"",_xlfn.XLOOKUP(Sheet3!A114,FoodTable[Food],FoodTable[Calories (kcal)]*Sheet3!B114,"Not Found",,2),"")</f>
        <v/>
      </c>
      <c r="E114" t="str" cm="1">
        <f t="array" ref="E114">IF(Sheet3!A114&lt;&gt;"",_xlfn.XLOOKUP(Sheet3!A114,FoodTable[Food],FoodTable[Fats (g)]*B114,"Not Found",,2),"")</f>
        <v/>
      </c>
      <c r="F114" t="str" cm="1">
        <f t="array" ref="F114">IF(Sheet3!A114&lt;&gt;"",_xlfn.XLOOKUP(Sheet3!A114,FoodTable[Food],FoodTable[Proteins (g)]*B114,"Not Found",,2),"")</f>
        <v/>
      </c>
      <c r="G114" t="str" cm="1">
        <f t="array" ref="G114">IF(Sheet3!A114&lt;&gt;"",_xlfn.XLOOKUP(Sheet3!A114,FoodTable[Food],FoodTable[Fibers]*B114,"Not Found",,2),"")</f>
        <v/>
      </c>
      <c r="H114" t="str" cm="1">
        <f t="array" ref="H114">IF(Sheet3!A114&lt;&gt;"",_xlfn.XLOOKUP(Sheet3!A114,FoodTable[Food],FoodTable[Sugars]*B114,"Not Found",,2),"")</f>
        <v/>
      </c>
    </row>
    <row r="115" spans="2:8" x14ac:dyDescent="0.2">
      <c r="B115" t="str">
        <f t="shared" si="1"/>
        <v/>
      </c>
      <c r="C115" s="6" t="str">
        <f>IF(Sheet3!A115&lt;&gt;"",_xlfn.XLOOKUP(Sheet3!A115,FoodTable[Food],FoodTable[Per Unit],"Not Found",,2),"")</f>
        <v/>
      </c>
      <c r="D115" t="str" cm="1">
        <f t="array" ref="D115">IF(Sheet3!A115&lt;&gt;"",_xlfn.XLOOKUP(Sheet3!A115,FoodTable[Food],FoodTable[Calories (kcal)]*Sheet3!B115,"Not Found",,2),"")</f>
        <v/>
      </c>
      <c r="E115" t="str" cm="1">
        <f t="array" ref="E115">IF(Sheet3!A115&lt;&gt;"",_xlfn.XLOOKUP(Sheet3!A115,FoodTable[Food],FoodTable[Fats (g)]*B115,"Not Found",,2),"")</f>
        <v/>
      </c>
      <c r="F115" t="str" cm="1">
        <f t="array" ref="F115">IF(Sheet3!A115&lt;&gt;"",_xlfn.XLOOKUP(Sheet3!A115,FoodTable[Food],FoodTable[Proteins (g)]*B115,"Not Found",,2),"")</f>
        <v/>
      </c>
      <c r="G115" t="str" cm="1">
        <f t="array" ref="G115">IF(Sheet3!A115&lt;&gt;"",_xlfn.XLOOKUP(Sheet3!A115,FoodTable[Food],FoodTable[Fibers]*B115,"Not Found",,2),"")</f>
        <v/>
      </c>
      <c r="H115" t="str" cm="1">
        <f t="array" ref="H115">IF(Sheet3!A115&lt;&gt;"",_xlfn.XLOOKUP(Sheet3!A115,FoodTable[Food],FoodTable[Sugars]*B115,"Not Found",,2),"")</f>
        <v/>
      </c>
    </row>
    <row r="116" spans="2:8" x14ac:dyDescent="0.2">
      <c r="B116" t="str">
        <f t="shared" si="1"/>
        <v/>
      </c>
      <c r="C116" s="6" t="str">
        <f>IF(Sheet3!A116&lt;&gt;"",_xlfn.XLOOKUP(Sheet3!A116,FoodTable[Food],FoodTable[Per Unit],"Not Found",,2),"")</f>
        <v/>
      </c>
      <c r="D116" t="str" cm="1">
        <f t="array" ref="D116">IF(Sheet3!A116&lt;&gt;"",_xlfn.XLOOKUP(Sheet3!A116,FoodTable[Food],FoodTable[Calories (kcal)]*Sheet3!B116,"Not Found",,2),"")</f>
        <v/>
      </c>
      <c r="E116" t="str" cm="1">
        <f t="array" ref="E116">IF(Sheet3!A116&lt;&gt;"",_xlfn.XLOOKUP(Sheet3!A116,FoodTable[Food],FoodTable[Fats (g)]*B116,"Not Found",,2),"")</f>
        <v/>
      </c>
      <c r="F116" t="str" cm="1">
        <f t="array" ref="F116">IF(Sheet3!A116&lt;&gt;"",_xlfn.XLOOKUP(Sheet3!A116,FoodTable[Food],FoodTable[Proteins (g)]*B116,"Not Found",,2),"")</f>
        <v/>
      </c>
      <c r="G116" t="str" cm="1">
        <f t="array" ref="G116">IF(Sheet3!A116&lt;&gt;"",_xlfn.XLOOKUP(Sheet3!A116,FoodTable[Food],FoodTable[Fibers]*B116,"Not Found",,2),"")</f>
        <v/>
      </c>
      <c r="H116" t="str" cm="1">
        <f t="array" ref="H116">IF(Sheet3!A116&lt;&gt;"",_xlfn.XLOOKUP(Sheet3!A116,FoodTable[Food],FoodTable[Sugars]*B116,"Not Found",,2),"")</f>
        <v/>
      </c>
    </row>
    <row r="117" spans="2:8" x14ac:dyDescent="0.2">
      <c r="B117" t="str">
        <f t="shared" si="1"/>
        <v/>
      </c>
      <c r="C117" s="6" t="str">
        <f>IF(Sheet3!A117&lt;&gt;"",_xlfn.XLOOKUP(Sheet3!A117,FoodTable[Food],FoodTable[Per Unit],"Not Found",,2),"")</f>
        <v/>
      </c>
      <c r="D117" t="str" cm="1">
        <f t="array" ref="D117">IF(Sheet3!A117&lt;&gt;"",_xlfn.XLOOKUP(Sheet3!A117,FoodTable[Food],FoodTable[Calories (kcal)]*Sheet3!B117,"Not Found",,2),"")</f>
        <v/>
      </c>
      <c r="E117" t="str" cm="1">
        <f t="array" ref="E117">IF(Sheet3!A117&lt;&gt;"",_xlfn.XLOOKUP(Sheet3!A117,FoodTable[Food],FoodTable[Fats (g)]*B117,"Not Found",,2),"")</f>
        <v/>
      </c>
      <c r="F117" t="str" cm="1">
        <f t="array" ref="F117">IF(Sheet3!A117&lt;&gt;"",_xlfn.XLOOKUP(Sheet3!A117,FoodTable[Food],FoodTable[Proteins (g)]*B117,"Not Found",,2),"")</f>
        <v/>
      </c>
      <c r="G117" t="str" cm="1">
        <f t="array" ref="G117">IF(Sheet3!A117&lt;&gt;"",_xlfn.XLOOKUP(Sheet3!A117,FoodTable[Food],FoodTable[Fibers]*B117,"Not Found",,2),"")</f>
        <v/>
      </c>
      <c r="H117" t="str" cm="1">
        <f t="array" ref="H117">IF(Sheet3!A117&lt;&gt;"",_xlfn.XLOOKUP(Sheet3!A117,FoodTable[Food],FoodTable[Sugars]*B117,"Not Found",,2),"")</f>
        <v/>
      </c>
    </row>
    <row r="118" spans="2:8" x14ac:dyDescent="0.2">
      <c r="B118" t="str">
        <f t="shared" si="1"/>
        <v/>
      </c>
      <c r="C118" s="6" t="str">
        <f>IF(Sheet3!A118&lt;&gt;"",_xlfn.XLOOKUP(Sheet3!A118,FoodTable[Food],FoodTable[Per Unit],"Not Found",,2),"")</f>
        <v/>
      </c>
      <c r="D118" t="str" cm="1">
        <f t="array" ref="D118">IF(Sheet3!A118&lt;&gt;"",_xlfn.XLOOKUP(Sheet3!A118,FoodTable[Food],FoodTable[Calories (kcal)]*Sheet3!B118,"Not Found",,2),"")</f>
        <v/>
      </c>
      <c r="E118" t="str" cm="1">
        <f t="array" ref="E118">IF(Sheet3!A118&lt;&gt;"",_xlfn.XLOOKUP(Sheet3!A118,FoodTable[Food],FoodTable[Fats (g)]*B118,"Not Found",,2),"")</f>
        <v/>
      </c>
      <c r="F118" t="str" cm="1">
        <f t="array" ref="F118">IF(Sheet3!A118&lt;&gt;"",_xlfn.XLOOKUP(Sheet3!A118,FoodTable[Food],FoodTable[Proteins (g)]*B118,"Not Found",,2),"")</f>
        <v/>
      </c>
      <c r="G118" t="str" cm="1">
        <f t="array" ref="G118">IF(Sheet3!A118&lt;&gt;"",_xlfn.XLOOKUP(Sheet3!A118,FoodTable[Food],FoodTable[Fibers]*B118,"Not Found",,2),"")</f>
        <v/>
      </c>
      <c r="H118" t="str" cm="1">
        <f t="array" ref="H118">IF(Sheet3!A118&lt;&gt;"",_xlfn.XLOOKUP(Sheet3!A118,FoodTable[Food],FoodTable[Sugars]*B118,"Not Found",,2),"")</f>
        <v/>
      </c>
    </row>
    <row r="119" spans="2:8" x14ac:dyDescent="0.2">
      <c r="B119" t="str">
        <f t="shared" si="1"/>
        <v/>
      </c>
      <c r="C119" s="6" t="str">
        <f>IF(Sheet3!A119&lt;&gt;"",_xlfn.XLOOKUP(Sheet3!A119,FoodTable[Food],FoodTable[Per Unit],"Not Found",,2),"")</f>
        <v/>
      </c>
      <c r="D119" t="str" cm="1">
        <f t="array" ref="D119">IF(Sheet3!A119&lt;&gt;"",_xlfn.XLOOKUP(Sheet3!A119,FoodTable[Food],FoodTable[Calories (kcal)]*Sheet3!B119,"Not Found",,2),"")</f>
        <v/>
      </c>
      <c r="E119" t="str" cm="1">
        <f t="array" ref="E119">IF(Sheet3!A119&lt;&gt;"",_xlfn.XLOOKUP(Sheet3!A119,FoodTable[Food],FoodTable[Fats (g)]*B119,"Not Found",,2),"")</f>
        <v/>
      </c>
      <c r="F119" t="str" cm="1">
        <f t="array" ref="F119">IF(Sheet3!A119&lt;&gt;"",_xlfn.XLOOKUP(Sheet3!A119,FoodTable[Food],FoodTable[Proteins (g)]*B119,"Not Found",,2),"")</f>
        <v/>
      </c>
      <c r="G119" t="str" cm="1">
        <f t="array" ref="G119">IF(Sheet3!A119&lt;&gt;"",_xlfn.XLOOKUP(Sheet3!A119,FoodTable[Food],FoodTable[Fibers]*B119,"Not Found",,2),"")</f>
        <v/>
      </c>
      <c r="H119" t="str" cm="1">
        <f t="array" ref="H119">IF(Sheet3!A119&lt;&gt;"",_xlfn.XLOOKUP(Sheet3!A119,FoodTable[Food],FoodTable[Sugars]*B119,"Not Found",,2),"")</f>
        <v/>
      </c>
    </row>
    <row r="120" spans="2:8" x14ac:dyDescent="0.2">
      <c r="B120" t="str">
        <f t="shared" si="1"/>
        <v/>
      </c>
      <c r="C120" s="6" t="str">
        <f>IF(Sheet3!A120&lt;&gt;"",_xlfn.XLOOKUP(Sheet3!A120,FoodTable[Food],FoodTable[Per Unit],"Not Found",,2),"")</f>
        <v/>
      </c>
      <c r="D120" t="str" cm="1">
        <f t="array" ref="D120">IF(Sheet3!A120&lt;&gt;"",_xlfn.XLOOKUP(Sheet3!A120,FoodTable[Food],FoodTable[Calories (kcal)]*Sheet3!B120,"Not Found",,2),"")</f>
        <v/>
      </c>
      <c r="E120" t="str" cm="1">
        <f t="array" ref="E120">IF(Sheet3!A120&lt;&gt;"",_xlfn.XLOOKUP(Sheet3!A120,FoodTable[Food],FoodTable[Fats (g)]*B120,"Not Found",,2),"")</f>
        <v/>
      </c>
      <c r="F120" t="str" cm="1">
        <f t="array" ref="F120">IF(Sheet3!A120&lt;&gt;"",_xlfn.XLOOKUP(Sheet3!A120,FoodTable[Food],FoodTable[Proteins (g)]*B120,"Not Found",,2),"")</f>
        <v/>
      </c>
      <c r="G120" t="str" cm="1">
        <f t="array" ref="G120">IF(Sheet3!A120&lt;&gt;"",_xlfn.XLOOKUP(Sheet3!A120,FoodTable[Food],FoodTable[Fibers]*B120,"Not Found",,2),"")</f>
        <v/>
      </c>
      <c r="H120" t="str" cm="1">
        <f t="array" ref="H120">IF(Sheet3!A120&lt;&gt;"",_xlfn.XLOOKUP(Sheet3!A120,FoodTable[Food],FoodTable[Sugars]*B120,"Not Found",,2),"")</f>
        <v/>
      </c>
    </row>
    <row r="121" spans="2:8" x14ac:dyDescent="0.2">
      <c r="B121" t="str">
        <f t="shared" si="1"/>
        <v/>
      </c>
      <c r="C121" s="6" t="str">
        <f>IF(Sheet3!A121&lt;&gt;"",_xlfn.XLOOKUP(Sheet3!A121,FoodTable[Food],FoodTable[Per Unit],"Not Found",,2),"")</f>
        <v/>
      </c>
      <c r="D121" t="str" cm="1">
        <f t="array" ref="D121">IF(Sheet3!A121&lt;&gt;"",_xlfn.XLOOKUP(Sheet3!A121,FoodTable[Food],FoodTable[Calories (kcal)]*Sheet3!B121,"Not Found",,2),"")</f>
        <v/>
      </c>
      <c r="E121" t="str" cm="1">
        <f t="array" ref="E121">IF(Sheet3!A121&lt;&gt;"",_xlfn.XLOOKUP(Sheet3!A121,FoodTable[Food],FoodTable[Fats (g)]*B121,"Not Found",,2),"")</f>
        <v/>
      </c>
      <c r="F121" t="str" cm="1">
        <f t="array" ref="F121">IF(Sheet3!A121&lt;&gt;"",_xlfn.XLOOKUP(Sheet3!A121,FoodTable[Food],FoodTable[Proteins (g)]*B121,"Not Found",,2),"")</f>
        <v/>
      </c>
      <c r="G121" t="str" cm="1">
        <f t="array" ref="G121">IF(Sheet3!A121&lt;&gt;"",_xlfn.XLOOKUP(Sheet3!A121,FoodTable[Food],FoodTable[Fibers]*B121,"Not Found",,2),"")</f>
        <v/>
      </c>
      <c r="H121" t="str" cm="1">
        <f t="array" ref="H121">IF(Sheet3!A121&lt;&gt;"",_xlfn.XLOOKUP(Sheet3!A121,FoodTable[Food],FoodTable[Sugars]*B121,"Not Found",,2),"")</f>
        <v/>
      </c>
    </row>
    <row r="122" spans="2:8" x14ac:dyDescent="0.2">
      <c r="B122" t="str">
        <f t="shared" si="1"/>
        <v/>
      </c>
      <c r="C122" s="6" t="str">
        <f>IF(Sheet3!A122&lt;&gt;"",_xlfn.XLOOKUP(Sheet3!A122,FoodTable[Food],FoodTable[Per Unit],"Not Found",,2),"")</f>
        <v/>
      </c>
      <c r="D122" t="str" cm="1">
        <f t="array" ref="D122">IF(Sheet3!A122&lt;&gt;"",_xlfn.XLOOKUP(Sheet3!A122,FoodTable[Food],FoodTable[Calories (kcal)]*Sheet3!B122,"Not Found",,2),"")</f>
        <v/>
      </c>
      <c r="E122" t="str" cm="1">
        <f t="array" ref="E122">IF(Sheet3!A122&lt;&gt;"",_xlfn.XLOOKUP(Sheet3!A122,FoodTable[Food],FoodTable[Fats (g)]*B122,"Not Found",,2),"")</f>
        <v/>
      </c>
      <c r="F122" t="str" cm="1">
        <f t="array" ref="F122">IF(Sheet3!A122&lt;&gt;"",_xlfn.XLOOKUP(Sheet3!A122,FoodTable[Food],FoodTable[Proteins (g)]*B122,"Not Found",,2),"")</f>
        <v/>
      </c>
      <c r="G122" t="str" cm="1">
        <f t="array" ref="G122">IF(Sheet3!A122&lt;&gt;"",_xlfn.XLOOKUP(Sheet3!A122,FoodTable[Food],FoodTable[Fibers]*B122,"Not Found",,2),"")</f>
        <v/>
      </c>
      <c r="H122" t="str" cm="1">
        <f t="array" ref="H122">IF(Sheet3!A122&lt;&gt;"",_xlfn.XLOOKUP(Sheet3!A122,FoodTable[Food],FoodTable[Sugars]*B122,"Not Found",,2),"")</f>
        <v/>
      </c>
    </row>
    <row r="123" spans="2:8" x14ac:dyDescent="0.2">
      <c r="B123" t="str">
        <f t="shared" si="1"/>
        <v/>
      </c>
      <c r="C123" s="6" t="str">
        <f>IF(Sheet3!A123&lt;&gt;"",_xlfn.XLOOKUP(Sheet3!A123,FoodTable[Food],FoodTable[Per Unit],"Not Found",,2),"")</f>
        <v/>
      </c>
      <c r="D123" t="str" cm="1">
        <f t="array" ref="D123">IF(Sheet3!A123&lt;&gt;"",_xlfn.XLOOKUP(Sheet3!A123,FoodTable[Food],FoodTable[Calories (kcal)]*Sheet3!B123,"Not Found",,2),"")</f>
        <v/>
      </c>
      <c r="E123" t="str" cm="1">
        <f t="array" ref="E123">IF(Sheet3!A123&lt;&gt;"",_xlfn.XLOOKUP(Sheet3!A123,FoodTable[Food],FoodTable[Fats (g)]*B123,"Not Found",,2),"")</f>
        <v/>
      </c>
      <c r="F123" t="str" cm="1">
        <f t="array" ref="F123">IF(Sheet3!A123&lt;&gt;"",_xlfn.XLOOKUP(Sheet3!A123,FoodTable[Food],FoodTable[Proteins (g)]*B123,"Not Found",,2),"")</f>
        <v/>
      </c>
      <c r="G123" t="str" cm="1">
        <f t="array" ref="G123">IF(Sheet3!A123&lt;&gt;"",_xlfn.XLOOKUP(Sheet3!A123,FoodTable[Food],FoodTable[Fibers]*B123,"Not Found",,2),"")</f>
        <v/>
      </c>
      <c r="H123" t="str" cm="1">
        <f t="array" ref="H123">IF(Sheet3!A123&lt;&gt;"",_xlfn.XLOOKUP(Sheet3!A123,FoodTable[Food],FoodTable[Sugars]*B123,"Not Found",,2),"")</f>
        <v/>
      </c>
    </row>
    <row r="124" spans="2:8" x14ac:dyDescent="0.2">
      <c r="B124" t="str">
        <f t="shared" si="1"/>
        <v/>
      </c>
      <c r="C124" s="6" t="str">
        <f>IF(Sheet3!A124&lt;&gt;"",_xlfn.XLOOKUP(Sheet3!A124,FoodTable[Food],FoodTable[Per Unit],"Not Found",,2),"")</f>
        <v/>
      </c>
      <c r="D124" t="str" cm="1">
        <f t="array" ref="D124">IF(Sheet3!A124&lt;&gt;"",_xlfn.XLOOKUP(Sheet3!A124,FoodTable[Food],FoodTable[Calories (kcal)]*Sheet3!B124,"Not Found",,2),"")</f>
        <v/>
      </c>
      <c r="E124" t="str" cm="1">
        <f t="array" ref="E124">IF(Sheet3!A124&lt;&gt;"",_xlfn.XLOOKUP(Sheet3!A124,FoodTable[Food],FoodTable[Fats (g)]*B124,"Not Found",,2),"")</f>
        <v/>
      </c>
      <c r="F124" t="str" cm="1">
        <f t="array" ref="F124">IF(Sheet3!A124&lt;&gt;"",_xlfn.XLOOKUP(Sheet3!A124,FoodTable[Food],FoodTable[Proteins (g)]*B124,"Not Found",,2),"")</f>
        <v/>
      </c>
      <c r="G124" t="str" cm="1">
        <f t="array" ref="G124">IF(Sheet3!A124&lt;&gt;"",_xlfn.XLOOKUP(Sheet3!A124,FoodTable[Food],FoodTable[Fibers]*B124,"Not Found",,2),"")</f>
        <v/>
      </c>
      <c r="H124" t="str" cm="1">
        <f t="array" ref="H124">IF(Sheet3!A124&lt;&gt;"",_xlfn.XLOOKUP(Sheet3!A124,FoodTable[Food],FoodTable[Sugars]*B124,"Not Found",,2),"")</f>
        <v/>
      </c>
    </row>
    <row r="125" spans="2:8" x14ac:dyDescent="0.2">
      <c r="B125" t="str">
        <f t="shared" si="1"/>
        <v/>
      </c>
      <c r="C125" s="6" t="str">
        <f>IF(Sheet3!A125&lt;&gt;"",_xlfn.XLOOKUP(Sheet3!A125,FoodTable[Food],FoodTable[Per Unit],"Not Found",,2),"")</f>
        <v/>
      </c>
      <c r="D125" t="str" cm="1">
        <f t="array" ref="D125">IF(Sheet3!A125&lt;&gt;"",_xlfn.XLOOKUP(Sheet3!A125,FoodTable[Food],FoodTable[Calories (kcal)]*Sheet3!B125,"Not Found",,2),"")</f>
        <v/>
      </c>
      <c r="E125" t="str" cm="1">
        <f t="array" ref="E125">IF(Sheet3!A125&lt;&gt;"",_xlfn.XLOOKUP(Sheet3!A125,FoodTable[Food],FoodTable[Fats (g)]*B125,"Not Found",,2),"")</f>
        <v/>
      </c>
      <c r="F125" t="str" cm="1">
        <f t="array" ref="F125">IF(Sheet3!A125&lt;&gt;"",_xlfn.XLOOKUP(Sheet3!A125,FoodTable[Food],FoodTable[Proteins (g)]*B125,"Not Found",,2),"")</f>
        <v/>
      </c>
      <c r="G125" t="str" cm="1">
        <f t="array" ref="G125">IF(Sheet3!A125&lt;&gt;"",_xlfn.XLOOKUP(Sheet3!A125,FoodTable[Food],FoodTable[Fibers]*B125,"Not Found",,2),"")</f>
        <v/>
      </c>
      <c r="H125" t="str" cm="1">
        <f t="array" ref="H125">IF(Sheet3!A125&lt;&gt;"",_xlfn.XLOOKUP(Sheet3!A125,FoodTable[Food],FoodTable[Sugars]*B125,"Not Found",,2),"")</f>
        <v/>
      </c>
    </row>
    <row r="126" spans="2:8" x14ac:dyDescent="0.2">
      <c r="B126" t="str">
        <f t="shared" si="1"/>
        <v/>
      </c>
      <c r="C126" s="6" t="str">
        <f>IF(Sheet3!A126&lt;&gt;"",_xlfn.XLOOKUP(Sheet3!A126,FoodTable[Food],FoodTable[Per Unit],"Not Found",,2),"")</f>
        <v/>
      </c>
      <c r="D126" t="str" cm="1">
        <f t="array" ref="D126">IF(Sheet3!A126&lt;&gt;"",_xlfn.XLOOKUP(Sheet3!A126,FoodTable[Food],FoodTable[Calories (kcal)]*Sheet3!B126,"Not Found",,2),"")</f>
        <v/>
      </c>
      <c r="E126" t="str" cm="1">
        <f t="array" ref="E126">IF(Sheet3!A126&lt;&gt;"",_xlfn.XLOOKUP(Sheet3!A126,FoodTable[Food],FoodTable[Fats (g)]*B126,"Not Found",,2),"")</f>
        <v/>
      </c>
      <c r="F126" t="str" cm="1">
        <f t="array" ref="F126">IF(Sheet3!A126&lt;&gt;"",_xlfn.XLOOKUP(Sheet3!A126,FoodTable[Food],FoodTable[Proteins (g)]*B126,"Not Found",,2),"")</f>
        <v/>
      </c>
      <c r="G126" t="str" cm="1">
        <f t="array" ref="G126">IF(Sheet3!A126&lt;&gt;"",_xlfn.XLOOKUP(Sheet3!A126,FoodTable[Food],FoodTable[Fibers]*B126,"Not Found",,2),"")</f>
        <v/>
      </c>
      <c r="H126" t="str" cm="1">
        <f t="array" ref="H126">IF(Sheet3!A126&lt;&gt;"",_xlfn.XLOOKUP(Sheet3!A126,FoodTable[Food],FoodTable[Sugars]*B126,"Not Found",,2),"")</f>
        <v/>
      </c>
    </row>
    <row r="127" spans="2:8" x14ac:dyDescent="0.2">
      <c r="B127" t="str">
        <f t="shared" si="1"/>
        <v/>
      </c>
      <c r="C127" s="6" t="str">
        <f>IF(Sheet3!A127&lt;&gt;"",_xlfn.XLOOKUP(Sheet3!A127,FoodTable[Food],FoodTable[Per Unit],"Not Found",,2),"")</f>
        <v/>
      </c>
      <c r="D127" t="str" cm="1">
        <f t="array" ref="D127">IF(Sheet3!A127&lt;&gt;"",_xlfn.XLOOKUP(Sheet3!A127,FoodTable[Food],FoodTable[Calories (kcal)]*Sheet3!B127,"Not Found",,2),"")</f>
        <v/>
      </c>
      <c r="E127" t="str" cm="1">
        <f t="array" ref="E127">IF(Sheet3!A127&lt;&gt;"",_xlfn.XLOOKUP(Sheet3!A127,FoodTable[Food],FoodTable[Fats (g)]*B127,"Not Found",,2),"")</f>
        <v/>
      </c>
      <c r="F127" t="str" cm="1">
        <f t="array" ref="F127">IF(Sheet3!A127&lt;&gt;"",_xlfn.XLOOKUP(Sheet3!A127,FoodTable[Food],FoodTable[Proteins (g)]*B127,"Not Found",,2),"")</f>
        <v/>
      </c>
      <c r="G127" t="str" cm="1">
        <f t="array" ref="G127">IF(Sheet3!A127&lt;&gt;"",_xlfn.XLOOKUP(Sheet3!A127,FoodTable[Food],FoodTable[Fibers]*B127,"Not Found",,2),"")</f>
        <v/>
      </c>
      <c r="H127" t="str" cm="1">
        <f t="array" ref="H127">IF(Sheet3!A127&lt;&gt;"",_xlfn.XLOOKUP(Sheet3!A127,FoodTable[Food],FoodTable[Sugars]*B127,"Not Found",,2),"")</f>
        <v/>
      </c>
    </row>
    <row r="128" spans="2:8" x14ac:dyDescent="0.2">
      <c r="B128" t="str">
        <f t="shared" si="1"/>
        <v/>
      </c>
      <c r="C128" s="6" t="str">
        <f>IF(Sheet3!A128&lt;&gt;"",_xlfn.XLOOKUP(Sheet3!A128,FoodTable[Food],FoodTable[Per Unit],"Not Found",,2),"")</f>
        <v/>
      </c>
      <c r="D128" t="str" cm="1">
        <f t="array" ref="D128">IF(Sheet3!A128&lt;&gt;"",_xlfn.XLOOKUP(Sheet3!A128,FoodTable[Food],FoodTable[Calories (kcal)]*Sheet3!B128,"Not Found",,2),"")</f>
        <v/>
      </c>
      <c r="E128" t="str" cm="1">
        <f t="array" ref="E128">IF(Sheet3!A128&lt;&gt;"",_xlfn.XLOOKUP(Sheet3!A128,FoodTable[Food],FoodTable[Fats (g)]*B128,"Not Found",,2),"")</f>
        <v/>
      </c>
      <c r="F128" t="str" cm="1">
        <f t="array" ref="F128">IF(Sheet3!A128&lt;&gt;"",_xlfn.XLOOKUP(Sheet3!A128,FoodTable[Food],FoodTable[Proteins (g)]*B128,"Not Found",,2),"")</f>
        <v/>
      </c>
      <c r="G128" t="str" cm="1">
        <f t="array" ref="G128">IF(Sheet3!A128&lt;&gt;"",_xlfn.XLOOKUP(Sheet3!A128,FoodTable[Food],FoodTable[Fibers]*B128,"Not Found",,2),"")</f>
        <v/>
      </c>
      <c r="H128" t="str" cm="1">
        <f t="array" ref="H128">IF(Sheet3!A128&lt;&gt;"",_xlfn.XLOOKUP(Sheet3!A128,FoodTable[Food],FoodTable[Sugars]*B128,"Not Found",,2),"")</f>
        <v/>
      </c>
    </row>
    <row r="129" spans="2:8" x14ac:dyDescent="0.2">
      <c r="B129" t="str">
        <f t="shared" si="1"/>
        <v/>
      </c>
      <c r="C129" s="6" t="str">
        <f>IF(Sheet3!A129&lt;&gt;"",_xlfn.XLOOKUP(Sheet3!A129,FoodTable[Food],FoodTable[Per Unit],"Not Found",,2),"")</f>
        <v/>
      </c>
      <c r="D129" t="str" cm="1">
        <f t="array" ref="D129">IF(Sheet3!A129&lt;&gt;"",_xlfn.XLOOKUP(Sheet3!A129,FoodTable[Food],FoodTable[Calories (kcal)]*Sheet3!B129,"Not Found",,2),"")</f>
        <v/>
      </c>
      <c r="E129" t="str" cm="1">
        <f t="array" ref="E129">IF(Sheet3!A129&lt;&gt;"",_xlfn.XLOOKUP(Sheet3!A129,FoodTable[Food],FoodTable[Fats (g)]*B129,"Not Found",,2),"")</f>
        <v/>
      </c>
      <c r="F129" t="str" cm="1">
        <f t="array" ref="F129">IF(Sheet3!A129&lt;&gt;"",_xlfn.XLOOKUP(Sheet3!A129,FoodTable[Food],FoodTable[Proteins (g)]*B129,"Not Found",,2),"")</f>
        <v/>
      </c>
      <c r="G129" t="str" cm="1">
        <f t="array" ref="G129">IF(Sheet3!A129&lt;&gt;"",_xlfn.XLOOKUP(Sheet3!A129,FoodTable[Food],FoodTable[Fibers]*B129,"Not Found",,2),"")</f>
        <v/>
      </c>
      <c r="H129" t="str" cm="1">
        <f t="array" ref="H129">IF(Sheet3!A129&lt;&gt;"",_xlfn.XLOOKUP(Sheet3!A129,FoodTable[Food],FoodTable[Sugars]*B129,"Not Found",,2),"")</f>
        <v/>
      </c>
    </row>
    <row r="130" spans="2:8" x14ac:dyDescent="0.2">
      <c r="B130" t="str">
        <f t="shared" si="1"/>
        <v/>
      </c>
      <c r="C130" s="6" t="str">
        <f>IF(Sheet3!A130&lt;&gt;"",_xlfn.XLOOKUP(Sheet3!A130,FoodTable[Food],FoodTable[Per Unit],"Not Found",,2),"")</f>
        <v/>
      </c>
      <c r="D130" t="str" cm="1">
        <f t="array" ref="D130">IF(Sheet3!A130&lt;&gt;"",_xlfn.XLOOKUP(Sheet3!A130,FoodTable[Food],FoodTable[Calories (kcal)]*Sheet3!B130,"Not Found",,2),"")</f>
        <v/>
      </c>
      <c r="E130" t="str" cm="1">
        <f t="array" ref="E130">IF(Sheet3!A130&lt;&gt;"",_xlfn.XLOOKUP(Sheet3!A130,FoodTable[Food],FoodTable[Fats (g)]*B130,"Not Found",,2),"")</f>
        <v/>
      </c>
      <c r="F130" t="str" cm="1">
        <f t="array" ref="F130">IF(Sheet3!A130&lt;&gt;"",_xlfn.XLOOKUP(Sheet3!A130,FoodTable[Food],FoodTable[Proteins (g)]*B130,"Not Found",,2),"")</f>
        <v/>
      </c>
      <c r="G130" t="str" cm="1">
        <f t="array" ref="G130">IF(Sheet3!A130&lt;&gt;"",_xlfn.XLOOKUP(Sheet3!A130,FoodTable[Food],FoodTable[Fibers]*B130,"Not Found",,2),"")</f>
        <v/>
      </c>
      <c r="H130" t="str" cm="1">
        <f t="array" ref="H130">IF(Sheet3!A130&lt;&gt;"",_xlfn.XLOOKUP(Sheet3!A130,FoodTable[Food],FoodTable[Sugars]*B130,"Not Found",,2),"")</f>
        <v/>
      </c>
    </row>
    <row r="131" spans="2:8" x14ac:dyDescent="0.2">
      <c r="B131" t="str">
        <f t="shared" si="1"/>
        <v/>
      </c>
      <c r="C131" s="6" t="str">
        <f>IF(Sheet3!A131&lt;&gt;"",_xlfn.XLOOKUP(Sheet3!A131,FoodTable[Food],FoodTable[Per Unit],"Not Found",,2),"")</f>
        <v/>
      </c>
      <c r="D131" t="str" cm="1">
        <f t="array" ref="D131">IF(Sheet3!A131&lt;&gt;"",_xlfn.XLOOKUP(Sheet3!A131,FoodTable[Food],FoodTable[Calories (kcal)]*Sheet3!B131,"Not Found",,2),"")</f>
        <v/>
      </c>
      <c r="E131" t="str" cm="1">
        <f t="array" ref="E131">IF(Sheet3!A131&lt;&gt;"",_xlfn.XLOOKUP(Sheet3!A131,FoodTable[Food],FoodTable[Fats (g)]*B131,"Not Found",,2),"")</f>
        <v/>
      </c>
      <c r="F131" t="str" cm="1">
        <f t="array" ref="F131">IF(Sheet3!A131&lt;&gt;"",_xlfn.XLOOKUP(Sheet3!A131,FoodTable[Food],FoodTable[Proteins (g)]*B131,"Not Found",,2),"")</f>
        <v/>
      </c>
      <c r="G131" t="str" cm="1">
        <f t="array" ref="G131">IF(Sheet3!A131&lt;&gt;"",_xlfn.XLOOKUP(Sheet3!A131,FoodTable[Food],FoodTable[Fibers]*B131,"Not Found",,2),"")</f>
        <v/>
      </c>
      <c r="H131" t="str" cm="1">
        <f t="array" ref="H131">IF(Sheet3!A131&lt;&gt;"",_xlfn.XLOOKUP(Sheet3!A131,FoodTable[Food],FoodTable[Sugars]*B131,"Not Found",,2),"")</f>
        <v/>
      </c>
    </row>
    <row r="132" spans="2:8" x14ac:dyDescent="0.2">
      <c r="B132" t="str">
        <f t="shared" ref="B132:B195" si="2">IF(A132&lt;&gt;"",1,"")</f>
        <v/>
      </c>
      <c r="C132" s="6" t="str">
        <f>IF(Sheet3!A132&lt;&gt;"",_xlfn.XLOOKUP(Sheet3!A132,FoodTable[Food],FoodTable[Per Unit],"Not Found",,2),"")</f>
        <v/>
      </c>
      <c r="D132" t="str" cm="1">
        <f t="array" ref="D132">IF(Sheet3!A132&lt;&gt;"",_xlfn.XLOOKUP(Sheet3!A132,FoodTable[Food],FoodTable[Calories (kcal)]*Sheet3!B132,"Not Found",,2),"")</f>
        <v/>
      </c>
      <c r="E132" t="str" cm="1">
        <f t="array" ref="E132">IF(Sheet3!A132&lt;&gt;"",_xlfn.XLOOKUP(Sheet3!A132,FoodTable[Food],FoodTable[Fats (g)]*B132,"Not Found",,2),"")</f>
        <v/>
      </c>
      <c r="F132" t="str" cm="1">
        <f t="array" ref="F132">IF(Sheet3!A132&lt;&gt;"",_xlfn.XLOOKUP(Sheet3!A132,FoodTable[Food],FoodTable[Proteins (g)]*B132,"Not Found",,2),"")</f>
        <v/>
      </c>
      <c r="G132" t="str" cm="1">
        <f t="array" ref="G132">IF(Sheet3!A132&lt;&gt;"",_xlfn.XLOOKUP(Sheet3!A132,FoodTable[Food],FoodTable[Fibers]*B132,"Not Found",,2),"")</f>
        <v/>
      </c>
      <c r="H132" t="str" cm="1">
        <f t="array" ref="H132">IF(Sheet3!A132&lt;&gt;"",_xlfn.XLOOKUP(Sheet3!A132,FoodTable[Food],FoodTable[Sugars]*B132,"Not Found",,2),"")</f>
        <v/>
      </c>
    </row>
    <row r="133" spans="2:8" x14ac:dyDescent="0.2">
      <c r="B133" t="str">
        <f t="shared" si="2"/>
        <v/>
      </c>
      <c r="C133" s="6" t="str">
        <f>IF(Sheet3!A133&lt;&gt;"",_xlfn.XLOOKUP(Sheet3!A133,FoodTable[Food],FoodTable[Per Unit],"Not Found",,2),"")</f>
        <v/>
      </c>
      <c r="D133" t="str" cm="1">
        <f t="array" ref="D133">IF(Sheet3!A133&lt;&gt;"",_xlfn.XLOOKUP(Sheet3!A133,FoodTable[Food],FoodTable[Calories (kcal)]*Sheet3!B133,"Not Found",,2),"")</f>
        <v/>
      </c>
      <c r="E133" t="str" cm="1">
        <f t="array" ref="E133">IF(Sheet3!A133&lt;&gt;"",_xlfn.XLOOKUP(Sheet3!A133,FoodTable[Food],FoodTable[Fats (g)]*B133,"Not Found",,2),"")</f>
        <v/>
      </c>
      <c r="F133" t="str" cm="1">
        <f t="array" ref="F133">IF(Sheet3!A133&lt;&gt;"",_xlfn.XLOOKUP(Sheet3!A133,FoodTable[Food],FoodTable[Proteins (g)]*B133,"Not Found",,2),"")</f>
        <v/>
      </c>
      <c r="G133" t="str" cm="1">
        <f t="array" ref="G133">IF(Sheet3!A133&lt;&gt;"",_xlfn.XLOOKUP(Sheet3!A133,FoodTable[Food],FoodTable[Fibers]*B133,"Not Found",,2),"")</f>
        <v/>
      </c>
      <c r="H133" t="str" cm="1">
        <f t="array" ref="H133">IF(Sheet3!A133&lt;&gt;"",_xlfn.XLOOKUP(Sheet3!A133,FoodTable[Food],FoodTable[Sugars]*B133,"Not Found",,2),"")</f>
        <v/>
      </c>
    </row>
    <row r="134" spans="2:8" x14ac:dyDescent="0.2">
      <c r="B134" t="str">
        <f t="shared" si="2"/>
        <v/>
      </c>
      <c r="C134" s="6" t="str">
        <f>IF(Sheet3!A134&lt;&gt;"",_xlfn.XLOOKUP(Sheet3!A134,FoodTable[Food],FoodTable[Per Unit],"Not Found",,2),"")</f>
        <v/>
      </c>
      <c r="D134" t="str" cm="1">
        <f t="array" ref="D134">IF(Sheet3!A134&lt;&gt;"",_xlfn.XLOOKUP(Sheet3!A134,FoodTable[Food],FoodTable[Calories (kcal)]*Sheet3!B134,"Not Found",,2),"")</f>
        <v/>
      </c>
      <c r="E134" t="str" cm="1">
        <f t="array" ref="E134">IF(Sheet3!A134&lt;&gt;"",_xlfn.XLOOKUP(Sheet3!A134,FoodTable[Food],FoodTable[Fats (g)]*B134,"Not Found",,2),"")</f>
        <v/>
      </c>
      <c r="F134" t="str" cm="1">
        <f t="array" ref="F134">IF(Sheet3!A134&lt;&gt;"",_xlfn.XLOOKUP(Sheet3!A134,FoodTable[Food],FoodTable[Proteins (g)]*B134,"Not Found",,2),"")</f>
        <v/>
      </c>
      <c r="G134" t="str" cm="1">
        <f t="array" ref="G134">IF(Sheet3!A134&lt;&gt;"",_xlfn.XLOOKUP(Sheet3!A134,FoodTable[Food],FoodTable[Fibers]*B134,"Not Found",,2),"")</f>
        <v/>
      </c>
      <c r="H134" t="str" cm="1">
        <f t="array" ref="H134">IF(Sheet3!A134&lt;&gt;"",_xlfn.XLOOKUP(Sheet3!A134,FoodTable[Food],FoodTable[Sugars]*B134,"Not Found",,2),"")</f>
        <v/>
      </c>
    </row>
    <row r="135" spans="2:8" x14ac:dyDescent="0.2">
      <c r="B135" t="str">
        <f t="shared" si="2"/>
        <v/>
      </c>
      <c r="C135" s="6" t="str">
        <f>IF(Sheet3!A135&lt;&gt;"",_xlfn.XLOOKUP(Sheet3!A135,FoodTable[Food],FoodTable[Per Unit],"Not Found",,2),"")</f>
        <v/>
      </c>
      <c r="D135" t="str" cm="1">
        <f t="array" ref="D135">IF(Sheet3!A135&lt;&gt;"",_xlfn.XLOOKUP(Sheet3!A135,FoodTable[Food],FoodTable[Calories (kcal)]*Sheet3!B135,"Not Found",,2),"")</f>
        <v/>
      </c>
      <c r="E135" t="str" cm="1">
        <f t="array" ref="E135">IF(Sheet3!A135&lt;&gt;"",_xlfn.XLOOKUP(Sheet3!A135,FoodTable[Food],FoodTable[Fats (g)]*B135,"Not Found",,2),"")</f>
        <v/>
      </c>
      <c r="F135" t="str" cm="1">
        <f t="array" ref="F135">IF(Sheet3!A135&lt;&gt;"",_xlfn.XLOOKUP(Sheet3!A135,FoodTable[Food],FoodTable[Proteins (g)]*B135,"Not Found",,2),"")</f>
        <v/>
      </c>
      <c r="G135" t="str" cm="1">
        <f t="array" ref="G135">IF(Sheet3!A135&lt;&gt;"",_xlfn.XLOOKUP(Sheet3!A135,FoodTable[Food],FoodTable[Fibers]*B135,"Not Found",,2),"")</f>
        <v/>
      </c>
      <c r="H135" t="str" cm="1">
        <f t="array" ref="H135">IF(Sheet3!A135&lt;&gt;"",_xlfn.XLOOKUP(Sheet3!A135,FoodTable[Food],FoodTable[Sugars]*B135,"Not Found",,2),"")</f>
        <v/>
      </c>
    </row>
    <row r="136" spans="2:8" x14ac:dyDescent="0.2">
      <c r="B136" t="str">
        <f t="shared" si="2"/>
        <v/>
      </c>
      <c r="C136" s="6" t="str">
        <f>IF(Sheet3!A136&lt;&gt;"",_xlfn.XLOOKUP(Sheet3!A136,FoodTable[Food],FoodTable[Per Unit],"Not Found",,2),"")</f>
        <v/>
      </c>
      <c r="D136" t="str" cm="1">
        <f t="array" ref="D136">IF(Sheet3!A136&lt;&gt;"",_xlfn.XLOOKUP(Sheet3!A136,FoodTable[Food],FoodTable[Calories (kcal)]*Sheet3!B136,"Not Found",,2),"")</f>
        <v/>
      </c>
      <c r="E136" t="str" cm="1">
        <f t="array" ref="E136">IF(Sheet3!A136&lt;&gt;"",_xlfn.XLOOKUP(Sheet3!A136,FoodTable[Food],FoodTable[Fats (g)]*B136,"Not Found",,2),"")</f>
        <v/>
      </c>
      <c r="F136" t="str" cm="1">
        <f t="array" ref="F136">IF(Sheet3!A136&lt;&gt;"",_xlfn.XLOOKUP(Sheet3!A136,FoodTable[Food],FoodTable[Proteins (g)]*B136,"Not Found",,2),"")</f>
        <v/>
      </c>
      <c r="G136" t="str" cm="1">
        <f t="array" ref="G136">IF(Sheet3!A136&lt;&gt;"",_xlfn.XLOOKUP(Sheet3!A136,FoodTable[Food],FoodTable[Fibers]*B136,"Not Found",,2),"")</f>
        <v/>
      </c>
      <c r="H136" t="str" cm="1">
        <f t="array" ref="H136">IF(Sheet3!A136&lt;&gt;"",_xlfn.XLOOKUP(Sheet3!A136,FoodTable[Food],FoodTable[Sugars]*B136,"Not Found",,2),"")</f>
        <v/>
      </c>
    </row>
    <row r="137" spans="2:8" x14ac:dyDescent="0.2">
      <c r="B137" t="str">
        <f t="shared" si="2"/>
        <v/>
      </c>
      <c r="C137" s="6" t="str">
        <f>IF(Sheet3!A137&lt;&gt;"",_xlfn.XLOOKUP(Sheet3!A137,FoodTable[Food],FoodTable[Per Unit],"Not Found",,2),"")</f>
        <v/>
      </c>
      <c r="D137" t="str" cm="1">
        <f t="array" ref="D137">IF(Sheet3!A137&lt;&gt;"",_xlfn.XLOOKUP(Sheet3!A137,FoodTable[Food],FoodTable[Calories (kcal)]*Sheet3!B137,"Not Found",,2),"")</f>
        <v/>
      </c>
      <c r="E137" t="str" cm="1">
        <f t="array" ref="E137">IF(Sheet3!A137&lt;&gt;"",_xlfn.XLOOKUP(Sheet3!A137,FoodTable[Food],FoodTable[Fats (g)]*B137,"Not Found",,2),"")</f>
        <v/>
      </c>
      <c r="F137" t="str" cm="1">
        <f t="array" ref="F137">IF(Sheet3!A137&lt;&gt;"",_xlfn.XLOOKUP(Sheet3!A137,FoodTable[Food],FoodTable[Proteins (g)]*B137,"Not Found",,2),"")</f>
        <v/>
      </c>
      <c r="G137" t="str" cm="1">
        <f t="array" ref="G137">IF(Sheet3!A137&lt;&gt;"",_xlfn.XLOOKUP(Sheet3!A137,FoodTable[Food],FoodTable[Fibers]*B137,"Not Found",,2),"")</f>
        <v/>
      </c>
      <c r="H137" t="str" cm="1">
        <f t="array" ref="H137">IF(Sheet3!A137&lt;&gt;"",_xlfn.XLOOKUP(Sheet3!A137,FoodTable[Food],FoodTable[Sugars]*B137,"Not Found",,2),"")</f>
        <v/>
      </c>
    </row>
    <row r="138" spans="2:8" x14ac:dyDescent="0.2">
      <c r="B138" t="str">
        <f t="shared" si="2"/>
        <v/>
      </c>
      <c r="C138" s="6" t="str">
        <f>IF(Sheet3!A138&lt;&gt;"",_xlfn.XLOOKUP(Sheet3!A138,FoodTable[Food],FoodTable[Per Unit],"Not Found",,2),"")</f>
        <v/>
      </c>
      <c r="D138" t="str" cm="1">
        <f t="array" ref="D138">IF(Sheet3!A138&lt;&gt;"",_xlfn.XLOOKUP(Sheet3!A138,FoodTable[Food],FoodTable[Calories (kcal)]*Sheet3!B138,"Not Found",,2),"")</f>
        <v/>
      </c>
      <c r="E138" t="str" cm="1">
        <f t="array" ref="E138">IF(Sheet3!A138&lt;&gt;"",_xlfn.XLOOKUP(Sheet3!A138,FoodTable[Food],FoodTable[Fats (g)]*B138,"Not Found",,2),"")</f>
        <v/>
      </c>
      <c r="F138" t="str" cm="1">
        <f t="array" ref="F138">IF(Sheet3!A138&lt;&gt;"",_xlfn.XLOOKUP(Sheet3!A138,FoodTable[Food],FoodTable[Proteins (g)]*B138,"Not Found",,2),"")</f>
        <v/>
      </c>
      <c r="G138" t="str" cm="1">
        <f t="array" ref="G138">IF(Sheet3!A138&lt;&gt;"",_xlfn.XLOOKUP(Sheet3!A138,FoodTable[Food],FoodTable[Fibers]*B138,"Not Found",,2),"")</f>
        <v/>
      </c>
      <c r="H138" t="str" cm="1">
        <f t="array" ref="H138">IF(Sheet3!A138&lt;&gt;"",_xlfn.XLOOKUP(Sheet3!A138,FoodTable[Food],FoodTable[Sugars]*B138,"Not Found",,2),"")</f>
        <v/>
      </c>
    </row>
    <row r="139" spans="2:8" x14ac:dyDescent="0.2">
      <c r="B139" t="str">
        <f t="shared" si="2"/>
        <v/>
      </c>
      <c r="C139" s="6" t="str">
        <f>IF(Sheet3!A139&lt;&gt;"",_xlfn.XLOOKUP(Sheet3!A139,FoodTable[Food],FoodTable[Per Unit],"Not Found",,2),"")</f>
        <v/>
      </c>
      <c r="D139" t="str" cm="1">
        <f t="array" ref="D139">IF(Sheet3!A139&lt;&gt;"",_xlfn.XLOOKUP(Sheet3!A139,FoodTable[Food],FoodTable[Calories (kcal)]*Sheet3!B139,"Not Found",,2),"")</f>
        <v/>
      </c>
      <c r="E139" t="str" cm="1">
        <f t="array" ref="E139">IF(Sheet3!A139&lt;&gt;"",_xlfn.XLOOKUP(Sheet3!A139,FoodTable[Food],FoodTable[Fats (g)]*B139,"Not Found",,2),"")</f>
        <v/>
      </c>
      <c r="F139" t="str" cm="1">
        <f t="array" ref="F139">IF(Sheet3!A139&lt;&gt;"",_xlfn.XLOOKUP(Sheet3!A139,FoodTable[Food],FoodTable[Proteins (g)]*B139,"Not Found",,2),"")</f>
        <v/>
      </c>
      <c r="G139" t="str" cm="1">
        <f t="array" ref="G139">IF(Sheet3!A139&lt;&gt;"",_xlfn.XLOOKUP(Sheet3!A139,FoodTable[Food],FoodTable[Fibers]*B139,"Not Found",,2),"")</f>
        <v/>
      </c>
      <c r="H139" t="str" cm="1">
        <f t="array" ref="H139">IF(Sheet3!A139&lt;&gt;"",_xlfn.XLOOKUP(Sheet3!A139,FoodTable[Food],FoodTable[Sugars]*B139,"Not Found",,2),"")</f>
        <v/>
      </c>
    </row>
    <row r="140" spans="2:8" x14ac:dyDescent="0.2">
      <c r="B140" t="str">
        <f t="shared" si="2"/>
        <v/>
      </c>
      <c r="C140" s="6" t="str">
        <f>IF(Sheet3!A140&lt;&gt;"",_xlfn.XLOOKUP(Sheet3!A140,FoodTable[Food],FoodTable[Per Unit],"Not Found",,2),"")</f>
        <v/>
      </c>
      <c r="D140" t="str" cm="1">
        <f t="array" ref="D140">IF(Sheet3!A140&lt;&gt;"",_xlfn.XLOOKUP(Sheet3!A140,FoodTable[Food],FoodTable[Calories (kcal)]*Sheet3!B140,"Not Found",,2),"")</f>
        <v/>
      </c>
      <c r="E140" t="str" cm="1">
        <f t="array" ref="E140">IF(Sheet3!A140&lt;&gt;"",_xlfn.XLOOKUP(Sheet3!A140,FoodTable[Food],FoodTable[Fats (g)]*B140,"Not Found",,2),"")</f>
        <v/>
      </c>
      <c r="F140" t="str" cm="1">
        <f t="array" ref="F140">IF(Sheet3!A140&lt;&gt;"",_xlfn.XLOOKUP(Sheet3!A140,FoodTable[Food],FoodTable[Proteins (g)]*B140,"Not Found",,2),"")</f>
        <v/>
      </c>
      <c r="G140" t="str" cm="1">
        <f t="array" ref="G140">IF(Sheet3!A140&lt;&gt;"",_xlfn.XLOOKUP(Sheet3!A140,FoodTable[Food],FoodTable[Fibers]*B140,"Not Found",,2),"")</f>
        <v/>
      </c>
      <c r="H140" t="str" cm="1">
        <f t="array" ref="H140">IF(Sheet3!A140&lt;&gt;"",_xlfn.XLOOKUP(Sheet3!A140,FoodTable[Food],FoodTable[Sugars]*B140,"Not Found",,2),"")</f>
        <v/>
      </c>
    </row>
    <row r="141" spans="2:8" x14ac:dyDescent="0.2">
      <c r="B141" t="str">
        <f t="shared" si="2"/>
        <v/>
      </c>
      <c r="C141" s="6" t="str">
        <f>IF(Sheet3!A141&lt;&gt;"",_xlfn.XLOOKUP(Sheet3!A141,FoodTable[Food],FoodTable[Per Unit],"Not Found",,2),"")</f>
        <v/>
      </c>
      <c r="D141" t="str" cm="1">
        <f t="array" ref="D141">IF(Sheet3!A141&lt;&gt;"",_xlfn.XLOOKUP(Sheet3!A141,FoodTable[Food],FoodTable[Calories (kcal)]*Sheet3!B141,"Not Found",,2),"")</f>
        <v/>
      </c>
      <c r="E141" t="str" cm="1">
        <f t="array" ref="E141">IF(Sheet3!A141&lt;&gt;"",_xlfn.XLOOKUP(Sheet3!A141,FoodTable[Food],FoodTable[Fats (g)]*B141,"Not Found",,2),"")</f>
        <v/>
      </c>
      <c r="F141" t="str" cm="1">
        <f t="array" ref="F141">IF(Sheet3!A141&lt;&gt;"",_xlfn.XLOOKUP(Sheet3!A141,FoodTable[Food],FoodTable[Proteins (g)]*B141,"Not Found",,2),"")</f>
        <v/>
      </c>
      <c r="G141" t="str" cm="1">
        <f t="array" ref="G141">IF(Sheet3!A141&lt;&gt;"",_xlfn.XLOOKUP(Sheet3!A141,FoodTable[Food],FoodTable[Fibers]*B141,"Not Found",,2),"")</f>
        <v/>
      </c>
      <c r="H141" t="str" cm="1">
        <f t="array" ref="H141">IF(Sheet3!A141&lt;&gt;"",_xlfn.XLOOKUP(Sheet3!A141,FoodTable[Food],FoodTable[Sugars]*B141,"Not Found",,2),"")</f>
        <v/>
      </c>
    </row>
    <row r="142" spans="2:8" x14ac:dyDescent="0.2">
      <c r="B142" t="str">
        <f t="shared" si="2"/>
        <v/>
      </c>
      <c r="C142" s="6" t="str">
        <f>IF(Sheet3!A142&lt;&gt;"",_xlfn.XLOOKUP(Sheet3!A142,FoodTable[Food],FoodTable[Per Unit],"Not Found",,2),"")</f>
        <v/>
      </c>
      <c r="D142" t="str" cm="1">
        <f t="array" ref="D142">IF(Sheet3!A142&lt;&gt;"",_xlfn.XLOOKUP(Sheet3!A142,FoodTable[Food],FoodTable[Calories (kcal)]*Sheet3!B142,"Not Found",,2),"")</f>
        <v/>
      </c>
      <c r="E142" t="str" cm="1">
        <f t="array" ref="E142">IF(Sheet3!A142&lt;&gt;"",_xlfn.XLOOKUP(Sheet3!A142,FoodTable[Food],FoodTable[Fats (g)]*B142,"Not Found",,2),"")</f>
        <v/>
      </c>
      <c r="F142" t="str" cm="1">
        <f t="array" ref="F142">IF(Sheet3!A142&lt;&gt;"",_xlfn.XLOOKUP(Sheet3!A142,FoodTable[Food],FoodTable[Proteins (g)]*B142,"Not Found",,2),"")</f>
        <v/>
      </c>
      <c r="G142" t="str" cm="1">
        <f t="array" ref="G142">IF(Sheet3!A142&lt;&gt;"",_xlfn.XLOOKUP(Sheet3!A142,FoodTable[Food],FoodTable[Fibers]*B142,"Not Found",,2),"")</f>
        <v/>
      </c>
      <c r="H142" t="str" cm="1">
        <f t="array" ref="H142">IF(Sheet3!A142&lt;&gt;"",_xlfn.XLOOKUP(Sheet3!A142,FoodTable[Food],FoodTable[Sugars]*B142,"Not Found",,2),"")</f>
        <v/>
      </c>
    </row>
    <row r="143" spans="2:8" x14ac:dyDescent="0.2">
      <c r="B143" t="str">
        <f t="shared" si="2"/>
        <v/>
      </c>
      <c r="C143" s="6" t="str">
        <f>IF(Sheet3!A143&lt;&gt;"",_xlfn.XLOOKUP(Sheet3!A143,FoodTable[Food],FoodTable[Per Unit],"Not Found",,2),"")</f>
        <v/>
      </c>
      <c r="D143" t="str" cm="1">
        <f t="array" ref="D143">IF(Sheet3!A143&lt;&gt;"",_xlfn.XLOOKUP(Sheet3!A143,FoodTable[Food],FoodTable[Calories (kcal)]*Sheet3!B143,"Not Found",,2),"")</f>
        <v/>
      </c>
      <c r="E143" t="str" cm="1">
        <f t="array" ref="E143">IF(Sheet3!A143&lt;&gt;"",_xlfn.XLOOKUP(Sheet3!A143,FoodTable[Food],FoodTable[Fats (g)]*B143,"Not Found",,2),"")</f>
        <v/>
      </c>
      <c r="F143" t="str" cm="1">
        <f t="array" ref="F143">IF(Sheet3!A143&lt;&gt;"",_xlfn.XLOOKUP(Sheet3!A143,FoodTable[Food],FoodTable[Proteins (g)]*B143,"Not Found",,2),"")</f>
        <v/>
      </c>
      <c r="G143" t="str" cm="1">
        <f t="array" ref="G143">IF(Sheet3!A143&lt;&gt;"",_xlfn.XLOOKUP(Sheet3!A143,FoodTable[Food],FoodTable[Fibers]*B143,"Not Found",,2),"")</f>
        <v/>
      </c>
      <c r="H143" t="str" cm="1">
        <f t="array" ref="H143">IF(Sheet3!A143&lt;&gt;"",_xlfn.XLOOKUP(Sheet3!A143,FoodTable[Food],FoodTable[Sugars]*B143,"Not Found",,2),"")</f>
        <v/>
      </c>
    </row>
    <row r="144" spans="2:8" x14ac:dyDescent="0.2">
      <c r="B144" t="str">
        <f t="shared" si="2"/>
        <v/>
      </c>
      <c r="C144" s="6" t="str">
        <f>IF(Sheet3!A144&lt;&gt;"",_xlfn.XLOOKUP(Sheet3!A144,FoodTable[Food],FoodTable[Per Unit],"Not Found",,2),"")</f>
        <v/>
      </c>
      <c r="D144" t="str" cm="1">
        <f t="array" ref="D144">IF(Sheet3!A144&lt;&gt;"",_xlfn.XLOOKUP(Sheet3!A144,FoodTable[Food],FoodTable[Calories (kcal)]*Sheet3!B144,"Not Found",,2),"")</f>
        <v/>
      </c>
      <c r="E144" t="str" cm="1">
        <f t="array" ref="E144">IF(Sheet3!A144&lt;&gt;"",_xlfn.XLOOKUP(Sheet3!A144,FoodTable[Food],FoodTable[Fats (g)]*B144,"Not Found",,2),"")</f>
        <v/>
      </c>
      <c r="F144" t="str" cm="1">
        <f t="array" ref="F144">IF(Sheet3!A144&lt;&gt;"",_xlfn.XLOOKUP(Sheet3!A144,FoodTable[Food],FoodTable[Proteins (g)]*B144,"Not Found",,2),"")</f>
        <v/>
      </c>
      <c r="G144" t="str" cm="1">
        <f t="array" ref="G144">IF(Sheet3!A144&lt;&gt;"",_xlfn.XLOOKUP(Sheet3!A144,FoodTable[Food],FoodTable[Fibers]*B144,"Not Found",,2),"")</f>
        <v/>
      </c>
      <c r="H144" t="str" cm="1">
        <f t="array" ref="H144">IF(Sheet3!A144&lt;&gt;"",_xlfn.XLOOKUP(Sheet3!A144,FoodTable[Food],FoodTable[Sugars]*B144,"Not Found",,2),"")</f>
        <v/>
      </c>
    </row>
    <row r="145" spans="2:8" x14ac:dyDescent="0.2">
      <c r="B145" t="str">
        <f t="shared" si="2"/>
        <v/>
      </c>
      <c r="C145" s="6" t="str">
        <f>IF(Sheet3!A145&lt;&gt;"",_xlfn.XLOOKUP(Sheet3!A145,FoodTable[Food],FoodTable[Per Unit],"Not Found",,2),"")</f>
        <v/>
      </c>
      <c r="D145" t="str" cm="1">
        <f t="array" ref="D145">IF(Sheet3!A145&lt;&gt;"",_xlfn.XLOOKUP(Sheet3!A145,FoodTable[Food],FoodTable[Calories (kcal)]*Sheet3!B145,"Not Found",,2),"")</f>
        <v/>
      </c>
      <c r="E145" t="str" cm="1">
        <f t="array" ref="E145">IF(Sheet3!A145&lt;&gt;"",_xlfn.XLOOKUP(Sheet3!A145,FoodTable[Food],FoodTable[Fats (g)]*B145,"Not Found",,2),"")</f>
        <v/>
      </c>
      <c r="F145" t="str" cm="1">
        <f t="array" ref="F145">IF(Sheet3!A145&lt;&gt;"",_xlfn.XLOOKUP(Sheet3!A145,FoodTable[Food],FoodTable[Proteins (g)]*B145,"Not Found",,2),"")</f>
        <v/>
      </c>
      <c r="G145" t="str" cm="1">
        <f t="array" ref="G145">IF(Sheet3!A145&lt;&gt;"",_xlfn.XLOOKUP(Sheet3!A145,FoodTable[Food],FoodTable[Fibers]*B145,"Not Found",,2),"")</f>
        <v/>
      </c>
      <c r="H145" t="str" cm="1">
        <f t="array" ref="H145">IF(Sheet3!A145&lt;&gt;"",_xlfn.XLOOKUP(Sheet3!A145,FoodTable[Food],FoodTable[Sugars]*B145,"Not Found",,2),"")</f>
        <v/>
      </c>
    </row>
    <row r="146" spans="2:8" x14ac:dyDescent="0.2">
      <c r="B146" t="str">
        <f t="shared" si="2"/>
        <v/>
      </c>
      <c r="C146" s="6" t="str">
        <f>IF(Sheet3!A146&lt;&gt;"",_xlfn.XLOOKUP(Sheet3!A146,FoodTable[Food],FoodTable[Per Unit],"Not Found",,2),"")</f>
        <v/>
      </c>
      <c r="D146" t="str" cm="1">
        <f t="array" ref="D146">IF(Sheet3!A146&lt;&gt;"",_xlfn.XLOOKUP(Sheet3!A146,FoodTable[Food],FoodTable[Calories (kcal)]*Sheet3!B146,"Not Found",,2),"")</f>
        <v/>
      </c>
      <c r="E146" t="str" cm="1">
        <f t="array" ref="E146">IF(Sheet3!A146&lt;&gt;"",_xlfn.XLOOKUP(Sheet3!A146,FoodTable[Food],FoodTable[Fats (g)]*B146,"Not Found",,2),"")</f>
        <v/>
      </c>
      <c r="F146" t="str" cm="1">
        <f t="array" ref="F146">IF(Sheet3!A146&lt;&gt;"",_xlfn.XLOOKUP(Sheet3!A146,FoodTable[Food],FoodTable[Proteins (g)]*B146,"Not Found",,2),"")</f>
        <v/>
      </c>
      <c r="G146" t="str" cm="1">
        <f t="array" ref="G146">IF(Sheet3!A146&lt;&gt;"",_xlfn.XLOOKUP(Sheet3!A146,FoodTable[Food],FoodTable[Fibers]*B146,"Not Found",,2),"")</f>
        <v/>
      </c>
      <c r="H146" t="str" cm="1">
        <f t="array" ref="H146">IF(Sheet3!A146&lt;&gt;"",_xlfn.XLOOKUP(Sheet3!A146,FoodTable[Food],FoodTable[Sugars]*B146,"Not Found",,2),"")</f>
        <v/>
      </c>
    </row>
    <row r="147" spans="2:8" x14ac:dyDescent="0.2">
      <c r="B147" t="str">
        <f t="shared" si="2"/>
        <v/>
      </c>
      <c r="C147" s="6" t="str">
        <f>IF(Sheet3!A147&lt;&gt;"",_xlfn.XLOOKUP(Sheet3!A147,FoodTable[Food],FoodTable[Per Unit],"Not Found",,2),"")</f>
        <v/>
      </c>
      <c r="D147" t="str" cm="1">
        <f t="array" ref="D147">IF(Sheet3!A147&lt;&gt;"",_xlfn.XLOOKUP(Sheet3!A147,FoodTable[Food],FoodTable[Calories (kcal)]*Sheet3!B147,"Not Found",,2),"")</f>
        <v/>
      </c>
      <c r="E147" t="str" cm="1">
        <f t="array" ref="E147">IF(Sheet3!A147&lt;&gt;"",_xlfn.XLOOKUP(Sheet3!A147,FoodTable[Food],FoodTable[Fats (g)]*B147,"Not Found",,2),"")</f>
        <v/>
      </c>
      <c r="F147" t="str" cm="1">
        <f t="array" ref="F147">IF(Sheet3!A147&lt;&gt;"",_xlfn.XLOOKUP(Sheet3!A147,FoodTable[Food],FoodTable[Proteins (g)]*B147,"Not Found",,2),"")</f>
        <v/>
      </c>
      <c r="G147" t="str" cm="1">
        <f t="array" ref="G147">IF(Sheet3!A147&lt;&gt;"",_xlfn.XLOOKUP(Sheet3!A147,FoodTable[Food],FoodTable[Fibers]*B147,"Not Found",,2),"")</f>
        <v/>
      </c>
      <c r="H147" t="str" cm="1">
        <f t="array" ref="H147">IF(Sheet3!A147&lt;&gt;"",_xlfn.XLOOKUP(Sheet3!A147,FoodTable[Food],FoodTable[Sugars]*B147,"Not Found",,2),"")</f>
        <v/>
      </c>
    </row>
    <row r="148" spans="2:8" x14ac:dyDescent="0.2">
      <c r="B148" t="str">
        <f t="shared" si="2"/>
        <v/>
      </c>
      <c r="C148" s="6" t="str">
        <f>IF(Sheet3!A148&lt;&gt;"",_xlfn.XLOOKUP(Sheet3!A148,FoodTable[Food],FoodTable[Per Unit],"Not Found",,2),"")</f>
        <v/>
      </c>
      <c r="D148" t="str" cm="1">
        <f t="array" ref="D148">IF(Sheet3!A148&lt;&gt;"",_xlfn.XLOOKUP(Sheet3!A148,FoodTable[Food],FoodTable[Calories (kcal)]*Sheet3!B148,"Not Found",,2),"")</f>
        <v/>
      </c>
      <c r="E148" t="str" cm="1">
        <f t="array" ref="E148">IF(Sheet3!A148&lt;&gt;"",_xlfn.XLOOKUP(Sheet3!A148,FoodTable[Food],FoodTable[Fats (g)]*B148,"Not Found",,2),"")</f>
        <v/>
      </c>
      <c r="F148" t="str" cm="1">
        <f t="array" ref="F148">IF(Sheet3!A148&lt;&gt;"",_xlfn.XLOOKUP(Sheet3!A148,FoodTable[Food],FoodTable[Proteins (g)]*B148,"Not Found",,2),"")</f>
        <v/>
      </c>
      <c r="G148" t="str" cm="1">
        <f t="array" ref="G148">IF(Sheet3!A148&lt;&gt;"",_xlfn.XLOOKUP(Sheet3!A148,FoodTable[Food],FoodTable[Fibers]*B148,"Not Found",,2),"")</f>
        <v/>
      </c>
      <c r="H148" t="str" cm="1">
        <f t="array" ref="H148">IF(Sheet3!A148&lt;&gt;"",_xlfn.XLOOKUP(Sheet3!A148,FoodTable[Food],FoodTable[Sugars]*B148,"Not Found",,2),"")</f>
        <v/>
      </c>
    </row>
    <row r="149" spans="2:8" x14ac:dyDescent="0.2">
      <c r="B149" t="str">
        <f t="shared" si="2"/>
        <v/>
      </c>
      <c r="C149" s="6" t="str">
        <f>IF(Sheet3!A149&lt;&gt;"",_xlfn.XLOOKUP(Sheet3!A149,FoodTable[Food],FoodTable[Per Unit],"Not Found",,2),"")</f>
        <v/>
      </c>
      <c r="D149" t="str" cm="1">
        <f t="array" ref="D149">IF(Sheet3!A149&lt;&gt;"",_xlfn.XLOOKUP(Sheet3!A149,FoodTable[Food],FoodTable[Calories (kcal)]*Sheet3!B149,"Not Found",,2),"")</f>
        <v/>
      </c>
      <c r="E149" t="str" cm="1">
        <f t="array" ref="E149">IF(Sheet3!A149&lt;&gt;"",_xlfn.XLOOKUP(Sheet3!A149,FoodTable[Food],FoodTable[Fats (g)]*B149,"Not Found",,2),"")</f>
        <v/>
      </c>
      <c r="F149" t="str" cm="1">
        <f t="array" ref="F149">IF(Sheet3!A149&lt;&gt;"",_xlfn.XLOOKUP(Sheet3!A149,FoodTable[Food],FoodTable[Proteins (g)]*B149,"Not Found",,2),"")</f>
        <v/>
      </c>
      <c r="G149" t="str" cm="1">
        <f t="array" ref="G149">IF(Sheet3!A149&lt;&gt;"",_xlfn.XLOOKUP(Sheet3!A149,FoodTable[Food],FoodTable[Fibers]*B149,"Not Found",,2),"")</f>
        <v/>
      </c>
      <c r="H149" t="str" cm="1">
        <f t="array" ref="H149">IF(Sheet3!A149&lt;&gt;"",_xlfn.XLOOKUP(Sheet3!A149,FoodTable[Food],FoodTable[Sugars]*B149,"Not Found",,2),"")</f>
        <v/>
      </c>
    </row>
    <row r="150" spans="2:8" x14ac:dyDescent="0.2">
      <c r="B150" t="str">
        <f t="shared" si="2"/>
        <v/>
      </c>
      <c r="C150" s="6" t="str">
        <f>IF(Sheet3!A150&lt;&gt;"",_xlfn.XLOOKUP(Sheet3!A150,FoodTable[Food],FoodTable[Per Unit],"Not Found",,2),"")</f>
        <v/>
      </c>
      <c r="D150" t="str" cm="1">
        <f t="array" ref="D150">IF(Sheet3!A150&lt;&gt;"",_xlfn.XLOOKUP(Sheet3!A150,FoodTable[Food],FoodTable[Calories (kcal)]*Sheet3!B150,"Not Found",,2),"")</f>
        <v/>
      </c>
      <c r="E150" t="str" cm="1">
        <f t="array" ref="E150">IF(Sheet3!A150&lt;&gt;"",_xlfn.XLOOKUP(Sheet3!A150,FoodTable[Food],FoodTable[Fats (g)]*B150,"Not Found",,2),"")</f>
        <v/>
      </c>
      <c r="F150" t="str" cm="1">
        <f t="array" ref="F150">IF(Sheet3!A150&lt;&gt;"",_xlfn.XLOOKUP(Sheet3!A150,FoodTable[Food],FoodTable[Proteins (g)]*B150,"Not Found",,2),"")</f>
        <v/>
      </c>
      <c r="G150" t="str" cm="1">
        <f t="array" ref="G150">IF(Sheet3!A150&lt;&gt;"",_xlfn.XLOOKUP(Sheet3!A150,FoodTable[Food],FoodTable[Fibers]*B150,"Not Found",,2),"")</f>
        <v/>
      </c>
      <c r="H150" t="str" cm="1">
        <f t="array" ref="H150">IF(Sheet3!A150&lt;&gt;"",_xlfn.XLOOKUP(Sheet3!A150,FoodTable[Food],FoodTable[Sugars]*B150,"Not Found",,2),"")</f>
        <v/>
      </c>
    </row>
    <row r="151" spans="2:8" x14ac:dyDescent="0.2">
      <c r="B151" t="str">
        <f t="shared" si="2"/>
        <v/>
      </c>
      <c r="C151" s="6" t="str">
        <f>IF(Sheet3!A151&lt;&gt;"",_xlfn.XLOOKUP(Sheet3!A151,FoodTable[Food],FoodTable[Per Unit],"Not Found",,2),"")</f>
        <v/>
      </c>
      <c r="D151" t="str" cm="1">
        <f t="array" ref="D151">IF(Sheet3!A151&lt;&gt;"",_xlfn.XLOOKUP(Sheet3!A151,FoodTable[Food],FoodTable[Calories (kcal)]*Sheet3!B151,"Not Found",,2),"")</f>
        <v/>
      </c>
      <c r="E151" t="str" cm="1">
        <f t="array" ref="E151">IF(Sheet3!A151&lt;&gt;"",_xlfn.XLOOKUP(Sheet3!A151,FoodTable[Food],FoodTable[Fats (g)]*B151,"Not Found",,2),"")</f>
        <v/>
      </c>
      <c r="F151" t="str" cm="1">
        <f t="array" ref="F151">IF(Sheet3!A151&lt;&gt;"",_xlfn.XLOOKUP(Sheet3!A151,FoodTable[Food],FoodTable[Proteins (g)]*B151,"Not Found",,2),"")</f>
        <v/>
      </c>
      <c r="G151" t="str" cm="1">
        <f t="array" ref="G151">IF(Sheet3!A151&lt;&gt;"",_xlfn.XLOOKUP(Sheet3!A151,FoodTable[Food],FoodTable[Fibers]*B151,"Not Found",,2),"")</f>
        <v/>
      </c>
      <c r="H151" t="str" cm="1">
        <f t="array" ref="H151">IF(Sheet3!A151&lt;&gt;"",_xlfn.XLOOKUP(Sheet3!A151,FoodTable[Food],FoodTable[Sugars]*B151,"Not Found",,2),"")</f>
        <v/>
      </c>
    </row>
    <row r="152" spans="2:8" x14ac:dyDescent="0.2">
      <c r="B152" t="str">
        <f t="shared" si="2"/>
        <v/>
      </c>
      <c r="C152" s="6" t="str">
        <f>IF(Sheet3!A152&lt;&gt;"",_xlfn.XLOOKUP(Sheet3!A152,FoodTable[Food],FoodTable[Per Unit],"Not Found",,2),"")</f>
        <v/>
      </c>
      <c r="D152" t="str" cm="1">
        <f t="array" ref="D152">IF(Sheet3!A152&lt;&gt;"",_xlfn.XLOOKUP(Sheet3!A152,FoodTable[Food],FoodTable[Calories (kcal)]*Sheet3!B152,"Not Found",,2),"")</f>
        <v/>
      </c>
      <c r="E152" t="str" cm="1">
        <f t="array" ref="E152">IF(Sheet3!A152&lt;&gt;"",_xlfn.XLOOKUP(Sheet3!A152,FoodTable[Food],FoodTable[Fats (g)]*B152,"Not Found",,2),"")</f>
        <v/>
      </c>
      <c r="F152" t="str" cm="1">
        <f t="array" ref="F152">IF(Sheet3!A152&lt;&gt;"",_xlfn.XLOOKUP(Sheet3!A152,FoodTable[Food],FoodTable[Proteins (g)]*B152,"Not Found",,2),"")</f>
        <v/>
      </c>
      <c r="G152" t="str" cm="1">
        <f t="array" ref="G152">IF(Sheet3!A152&lt;&gt;"",_xlfn.XLOOKUP(Sheet3!A152,FoodTable[Food],FoodTable[Fibers]*B152,"Not Found",,2),"")</f>
        <v/>
      </c>
      <c r="H152" t="str" cm="1">
        <f t="array" ref="H152">IF(Sheet3!A152&lt;&gt;"",_xlfn.XLOOKUP(Sheet3!A152,FoodTable[Food],FoodTable[Sugars]*B152,"Not Found",,2),"")</f>
        <v/>
      </c>
    </row>
    <row r="153" spans="2:8" x14ac:dyDescent="0.2">
      <c r="B153" t="str">
        <f t="shared" si="2"/>
        <v/>
      </c>
      <c r="C153" s="6" t="str">
        <f>IF(Sheet3!A153&lt;&gt;"",_xlfn.XLOOKUP(Sheet3!A153,FoodTable[Food],FoodTable[Per Unit],"Not Found",,2),"")</f>
        <v/>
      </c>
      <c r="D153" t="str" cm="1">
        <f t="array" ref="D153">IF(Sheet3!A153&lt;&gt;"",_xlfn.XLOOKUP(Sheet3!A153,FoodTable[Food],FoodTable[Calories (kcal)]*Sheet3!B153,"Not Found",,2),"")</f>
        <v/>
      </c>
      <c r="E153" t="str" cm="1">
        <f t="array" ref="E153">IF(Sheet3!A153&lt;&gt;"",_xlfn.XLOOKUP(Sheet3!A153,FoodTable[Food],FoodTable[Fats (g)]*B153,"Not Found",,2),"")</f>
        <v/>
      </c>
      <c r="F153" t="str" cm="1">
        <f t="array" ref="F153">IF(Sheet3!A153&lt;&gt;"",_xlfn.XLOOKUP(Sheet3!A153,FoodTable[Food],FoodTable[Proteins (g)]*B153,"Not Found",,2),"")</f>
        <v/>
      </c>
      <c r="G153" t="str" cm="1">
        <f t="array" ref="G153">IF(Sheet3!A153&lt;&gt;"",_xlfn.XLOOKUP(Sheet3!A153,FoodTable[Food],FoodTable[Fibers]*B153,"Not Found",,2),"")</f>
        <v/>
      </c>
      <c r="H153" t="str" cm="1">
        <f t="array" ref="H153">IF(Sheet3!A153&lt;&gt;"",_xlfn.XLOOKUP(Sheet3!A153,FoodTable[Food],FoodTable[Sugars]*B153,"Not Found",,2),"")</f>
        <v/>
      </c>
    </row>
    <row r="154" spans="2:8" x14ac:dyDescent="0.2">
      <c r="B154" t="str">
        <f t="shared" si="2"/>
        <v/>
      </c>
      <c r="C154" s="6" t="str">
        <f>IF(Sheet3!A154&lt;&gt;"",_xlfn.XLOOKUP(Sheet3!A154,FoodTable[Food],FoodTable[Per Unit],"Not Found",,2),"")</f>
        <v/>
      </c>
      <c r="D154" t="str" cm="1">
        <f t="array" ref="D154">IF(Sheet3!A154&lt;&gt;"",_xlfn.XLOOKUP(Sheet3!A154,FoodTable[Food],FoodTable[Calories (kcal)]*Sheet3!B154,"Not Found",,2),"")</f>
        <v/>
      </c>
      <c r="E154" t="str" cm="1">
        <f t="array" ref="E154">IF(Sheet3!A154&lt;&gt;"",_xlfn.XLOOKUP(Sheet3!A154,FoodTable[Food],FoodTable[Fats (g)]*B154,"Not Found",,2),"")</f>
        <v/>
      </c>
      <c r="F154" t="str" cm="1">
        <f t="array" ref="F154">IF(Sheet3!A154&lt;&gt;"",_xlfn.XLOOKUP(Sheet3!A154,FoodTable[Food],FoodTable[Proteins (g)]*B154,"Not Found",,2),"")</f>
        <v/>
      </c>
      <c r="G154" t="str" cm="1">
        <f t="array" ref="G154">IF(Sheet3!A154&lt;&gt;"",_xlfn.XLOOKUP(Sheet3!A154,FoodTable[Food],FoodTable[Fibers]*B154,"Not Found",,2),"")</f>
        <v/>
      </c>
      <c r="H154" t="str" cm="1">
        <f t="array" ref="H154">IF(Sheet3!A154&lt;&gt;"",_xlfn.XLOOKUP(Sheet3!A154,FoodTable[Food],FoodTable[Sugars]*B154,"Not Found",,2),"")</f>
        <v/>
      </c>
    </row>
    <row r="155" spans="2:8" x14ac:dyDescent="0.2">
      <c r="B155" t="str">
        <f t="shared" si="2"/>
        <v/>
      </c>
      <c r="C155" s="6" t="str">
        <f>IF(Sheet3!A155&lt;&gt;"",_xlfn.XLOOKUP(Sheet3!A155,FoodTable[Food],FoodTable[Per Unit],"Not Found",,2),"")</f>
        <v/>
      </c>
      <c r="D155" t="str" cm="1">
        <f t="array" ref="D155">IF(Sheet3!A155&lt;&gt;"",_xlfn.XLOOKUP(Sheet3!A155,FoodTable[Food],FoodTable[Calories (kcal)]*Sheet3!B155,"Not Found",,2),"")</f>
        <v/>
      </c>
      <c r="E155" t="str" cm="1">
        <f t="array" ref="E155">IF(Sheet3!A155&lt;&gt;"",_xlfn.XLOOKUP(Sheet3!A155,FoodTable[Food],FoodTable[Fats (g)]*B155,"Not Found",,2),"")</f>
        <v/>
      </c>
      <c r="F155" t="str" cm="1">
        <f t="array" ref="F155">IF(Sheet3!A155&lt;&gt;"",_xlfn.XLOOKUP(Sheet3!A155,FoodTable[Food],FoodTable[Proteins (g)]*B155,"Not Found",,2),"")</f>
        <v/>
      </c>
      <c r="G155" t="str" cm="1">
        <f t="array" ref="G155">IF(Sheet3!A155&lt;&gt;"",_xlfn.XLOOKUP(Sheet3!A155,FoodTable[Food],FoodTable[Fibers]*B155,"Not Found",,2),"")</f>
        <v/>
      </c>
      <c r="H155" t="str" cm="1">
        <f t="array" ref="H155">IF(Sheet3!A155&lt;&gt;"",_xlfn.XLOOKUP(Sheet3!A155,FoodTable[Food],FoodTable[Sugars]*B155,"Not Found",,2),"")</f>
        <v/>
      </c>
    </row>
    <row r="156" spans="2:8" x14ac:dyDescent="0.2">
      <c r="B156" t="str">
        <f t="shared" si="2"/>
        <v/>
      </c>
      <c r="C156" s="6" t="str">
        <f>IF(Sheet3!A156&lt;&gt;"",_xlfn.XLOOKUP(Sheet3!A156,FoodTable[Food],FoodTable[Per Unit],"Not Found",,2),"")</f>
        <v/>
      </c>
      <c r="D156" t="str" cm="1">
        <f t="array" ref="D156">IF(Sheet3!A156&lt;&gt;"",_xlfn.XLOOKUP(Sheet3!A156,FoodTable[Food],FoodTable[Calories (kcal)]*Sheet3!B156,"Not Found",,2),"")</f>
        <v/>
      </c>
      <c r="E156" t="str" cm="1">
        <f t="array" ref="E156">IF(Sheet3!A156&lt;&gt;"",_xlfn.XLOOKUP(Sheet3!A156,FoodTable[Food],FoodTable[Fats (g)]*B156,"Not Found",,2),"")</f>
        <v/>
      </c>
      <c r="F156" t="str" cm="1">
        <f t="array" ref="F156">IF(Sheet3!A156&lt;&gt;"",_xlfn.XLOOKUP(Sheet3!A156,FoodTable[Food],FoodTable[Proteins (g)]*B156,"Not Found",,2),"")</f>
        <v/>
      </c>
      <c r="G156" t="str" cm="1">
        <f t="array" ref="G156">IF(Sheet3!A156&lt;&gt;"",_xlfn.XLOOKUP(Sheet3!A156,FoodTable[Food],FoodTable[Fibers]*B156,"Not Found",,2),"")</f>
        <v/>
      </c>
      <c r="H156" t="str" cm="1">
        <f t="array" ref="H156">IF(Sheet3!A156&lt;&gt;"",_xlfn.XLOOKUP(Sheet3!A156,FoodTable[Food],FoodTable[Sugars]*B156,"Not Found",,2),"")</f>
        <v/>
      </c>
    </row>
    <row r="157" spans="2:8" x14ac:dyDescent="0.2">
      <c r="B157" t="str">
        <f t="shared" si="2"/>
        <v/>
      </c>
      <c r="C157" s="6" t="str">
        <f>IF(Sheet3!A157&lt;&gt;"",_xlfn.XLOOKUP(Sheet3!A157,FoodTable[Food],FoodTable[Per Unit],"Not Found",,2),"")</f>
        <v/>
      </c>
      <c r="D157" t="str" cm="1">
        <f t="array" ref="D157">IF(Sheet3!A157&lt;&gt;"",_xlfn.XLOOKUP(Sheet3!A157,FoodTable[Food],FoodTable[Calories (kcal)]*Sheet3!B157,"Not Found",,2),"")</f>
        <v/>
      </c>
      <c r="E157" t="str" cm="1">
        <f t="array" ref="E157">IF(Sheet3!A157&lt;&gt;"",_xlfn.XLOOKUP(Sheet3!A157,FoodTable[Food],FoodTable[Fats (g)]*B157,"Not Found",,2),"")</f>
        <v/>
      </c>
      <c r="F157" t="str" cm="1">
        <f t="array" ref="F157">IF(Sheet3!A157&lt;&gt;"",_xlfn.XLOOKUP(Sheet3!A157,FoodTable[Food],FoodTable[Proteins (g)]*B157,"Not Found",,2),"")</f>
        <v/>
      </c>
      <c r="G157" t="str" cm="1">
        <f t="array" ref="G157">IF(Sheet3!A157&lt;&gt;"",_xlfn.XLOOKUP(Sheet3!A157,FoodTable[Food],FoodTable[Fibers]*B157,"Not Found",,2),"")</f>
        <v/>
      </c>
      <c r="H157" t="str" cm="1">
        <f t="array" ref="H157">IF(Sheet3!A157&lt;&gt;"",_xlfn.XLOOKUP(Sheet3!A157,FoodTable[Food],FoodTable[Sugars]*B157,"Not Found",,2),"")</f>
        <v/>
      </c>
    </row>
    <row r="158" spans="2:8" x14ac:dyDescent="0.2">
      <c r="B158" t="str">
        <f t="shared" si="2"/>
        <v/>
      </c>
      <c r="C158" s="6" t="str">
        <f>IF(Sheet3!A158&lt;&gt;"",_xlfn.XLOOKUP(Sheet3!A158,FoodTable[Food],FoodTable[Per Unit],"Not Found",,2),"")</f>
        <v/>
      </c>
      <c r="D158" t="str" cm="1">
        <f t="array" ref="D158">IF(Sheet3!A158&lt;&gt;"",_xlfn.XLOOKUP(Sheet3!A158,FoodTable[Food],FoodTable[Calories (kcal)]*Sheet3!B158,"Not Found",,2),"")</f>
        <v/>
      </c>
      <c r="E158" t="str" cm="1">
        <f t="array" ref="E158">IF(Sheet3!A158&lt;&gt;"",_xlfn.XLOOKUP(Sheet3!A158,FoodTable[Food],FoodTable[Fats (g)]*B158,"Not Found",,2),"")</f>
        <v/>
      </c>
      <c r="F158" t="str" cm="1">
        <f t="array" ref="F158">IF(Sheet3!A158&lt;&gt;"",_xlfn.XLOOKUP(Sheet3!A158,FoodTable[Food],FoodTable[Proteins (g)]*B158,"Not Found",,2),"")</f>
        <v/>
      </c>
      <c r="G158" t="str" cm="1">
        <f t="array" ref="G158">IF(Sheet3!A158&lt;&gt;"",_xlfn.XLOOKUP(Sheet3!A158,FoodTable[Food],FoodTable[Fibers]*B158,"Not Found",,2),"")</f>
        <v/>
      </c>
      <c r="H158" t="str" cm="1">
        <f t="array" ref="H158">IF(Sheet3!A158&lt;&gt;"",_xlfn.XLOOKUP(Sheet3!A158,FoodTable[Food],FoodTable[Sugars]*B158,"Not Found",,2),"")</f>
        <v/>
      </c>
    </row>
    <row r="159" spans="2:8" x14ac:dyDescent="0.2">
      <c r="B159" t="str">
        <f t="shared" si="2"/>
        <v/>
      </c>
      <c r="C159" s="6" t="str">
        <f>IF(Sheet3!A159&lt;&gt;"",_xlfn.XLOOKUP(Sheet3!A159,FoodTable[Food],FoodTable[Per Unit],"Not Found",,2),"")</f>
        <v/>
      </c>
      <c r="D159" t="str" cm="1">
        <f t="array" ref="D159">IF(Sheet3!A159&lt;&gt;"",_xlfn.XLOOKUP(Sheet3!A159,FoodTable[Food],FoodTable[Calories (kcal)]*Sheet3!B159,"Not Found",,2),"")</f>
        <v/>
      </c>
      <c r="E159" t="str" cm="1">
        <f t="array" ref="E159">IF(Sheet3!A159&lt;&gt;"",_xlfn.XLOOKUP(Sheet3!A159,FoodTable[Food],FoodTable[Fats (g)]*B159,"Not Found",,2),"")</f>
        <v/>
      </c>
      <c r="F159" t="str" cm="1">
        <f t="array" ref="F159">IF(Sheet3!A159&lt;&gt;"",_xlfn.XLOOKUP(Sheet3!A159,FoodTable[Food],FoodTable[Proteins (g)]*B159,"Not Found",,2),"")</f>
        <v/>
      </c>
      <c r="G159" t="str" cm="1">
        <f t="array" ref="G159">IF(Sheet3!A159&lt;&gt;"",_xlfn.XLOOKUP(Sheet3!A159,FoodTable[Food],FoodTable[Fibers]*B159,"Not Found",,2),"")</f>
        <v/>
      </c>
      <c r="H159" t="str" cm="1">
        <f t="array" ref="H159">IF(Sheet3!A159&lt;&gt;"",_xlfn.XLOOKUP(Sheet3!A159,FoodTable[Food],FoodTable[Sugars]*B159,"Not Found",,2),"")</f>
        <v/>
      </c>
    </row>
    <row r="160" spans="2:8" x14ac:dyDescent="0.2">
      <c r="B160" t="str">
        <f t="shared" si="2"/>
        <v/>
      </c>
      <c r="C160" s="6" t="str">
        <f>IF(Sheet3!A160&lt;&gt;"",_xlfn.XLOOKUP(Sheet3!A160,FoodTable[Food],FoodTable[Per Unit],"Not Found",,2),"")</f>
        <v/>
      </c>
      <c r="D160" t="str" cm="1">
        <f t="array" ref="D160">IF(Sheet3!A160&lt;&gt;"",_xlfn.XLOOKUP(Sheet3!A160,FoodTable[Food],FoodTable[Calories (kcal)]*Sheet3!B160,"Not Found",,2),"")</f>
        <v/>
      </c>
      <c r="E160" t="str" cm="1">
        <f t="array" ref="E160">IF(Sheet3!A160&lt;&gt;"",_xlfn.XLOOKUP(Sheet3!A160,FoodTable[Food],FoodTable[Fats (g)]*B160,"Not Found",,2),"")</f>
        <v/>
      </c>
      <c r="F160" t="str" cm="1">
        <f t="array" ref="F160">IF(Sheet3!A160&lt;&gt;"",_xlfn.XLOOKUP(Sheet3!A160,FoodTable[Food],FoodTable[Proteins (g)]*B160,"Not Found",,2),"")</f>
        <v/>
      </c>
      <c r="G160" t="str" cm="1">
        <f t="array" ref="G160">IF(Sheet3!A160&lt;&gt;"",_xlfn.XLOOKUP(Sheet3!A160,FoodTable[Food],FoodTable[Fibers]*B160,"Not Found",,2),"")</f>
        <v/>
      </c>
      <c r="H160" t="str" cm="1">
        <f t="array" ref="H160">IF(Sheet3!A160&lt;&gt;"",_xlfn.XLOOKUP(Sheet3!A160,FoodTable[Food],FoodTable[Sugars]*B160,"Not Found",,2),"")</f>
        <v/>
      </c>
    </row>
    <row r="161" spans="2:8" x14ac:dyDescent="0.2">
      <c r="B161" t="str">
        <f t="shared" si="2"/>
        <v/>
      </c>
      <c r="C161" s="6" t="str">
        <f>IF(Sheet3!A161&lt;&gt;"",_xlfn.XLOOKUP(Sheet3!A161,FoodTable[Food],FoodTable[Per Unit],"Not Found",,2),"")</f>
        <v/>
      </c>
      <c r="D161" t="str" cm="1">
        <f t="array" ref="D161">IF(Sheet3!A161&lt;&gt;"",_xlfn.XLOOKUP(Sheet3!A161,FoodTable[Food],FoodTable[Calories (kcal)]*Sheet3!B161,"Not Found",,2),"")</f>
        <v/>
      </c>
      <c r="E161" t="str" cm="1">
        <f t="array" ref="E161">IF(Sheet3!A161&lt;&gt;"",_xlfn.XLOOKUP(Sheet3!A161,FoodTable[Food],FoodTable[Fats (g)]*B161,"Not Found",,2),"")</f>
        <v/>
      </c>
      <c r="F161" t="str" cm="1">
        <f t="array" ref="F161">IF(Sheet3!A161&lt;&gt;"",_xlfn.XLOOKUP(Sheet3!A161,FoodTable[Food],FoodTable[Proteins (g)]*B161,"Not Found",,2),"")</f>
        <v/>
      </c>
      <c r="G161" t="str" cm="1">
        <f t="array" ref="G161">IF(Sheet3!A161&lt;&gt;"",_xlfn.XLOOKUP(Sheet3!A161,FoodTable[Food],FoodTable[Fibers]*B161,"Not Found",,2),"")</f>
        <v/>
      </c>
      <c r="H161" t="str" cm="1">
        <f t="array" ref="H161">IF(Sheet3!A161&lt;&gt;"",_xlfn.XLOOKUP(Sheet3!A161,FoodTable[Food],FoodTable[Sugars]*B161,"Not Found",,2),"")</f>
        <v/>
      </c>
    </row>
    <row r="162" spans="2:8" x14ac:dyDescent="0.2">
      <c r="B162" t="str">
        <f t="shared" si="2"/>
        <v/>
      </c>
      <c r="C162" s="6" t="str">
        <f>IF(Sheet3!A162&lt;&gt;"",_xlfn.XLOOKUP(Sheet3!A162,FoodTable[Food],FoodTable[Per Unit],"Not Found",,2),"")</f>
        <v/>
      </c>
      <c r="D162" t="str" cm="1">
        <f t="array" ref="D162">IF(Sheet3!A162&lt;&gt;"",_xlfn.XLOOKUP(Sheet3!A162,FoodTable[Food],FoodTable[Calories (kcal)]*Sheet3!B162,"Not Found",,2),"")</f>
        <v/>
      </c>
      <c r="E162" t="str" cm="1">
        <f t="array" ref="E162">IF(Sheet3!A162&lt;&gt;"",_xlfn.XLOOKUP(Sheet3!A162,FoodTable[Food],FoodTable[Fats (g)]*B162,"Not Found",,2),"")</f>
        <v/>
      </c>
      <c r="F162" t="str" cm="1">
        <f t="array" ref="F162">IF(Sheet3!A162&lt;&gt;"",_xlfn.XLOOKUP(Sheet3!A162,FoodTable[Food],FoodTable[Proteins (g)]*B162,"Not Found",,2),"")</f>
        <v/>
      </c>
      <c r="G162" t="str" cm="1">
        <f t="array" ref="G162">IF(Sheet3!A162&lt;&gt;"",_xlfn.XLOOKUP(Sheet3!A162,FoodTable[Food],FoodTable[Fibers]*B162,"Not Found",,2),"")</f>
        <v/>
      </c>
      <c r="H162" t="str" cm="1">
        <f t="array" ref="H162">IF(Sheet3!A162&lt;&gt;"",_xlfn.XLOOKUP(Sheet3!A162,FoodTable[Food],FoodTable[Sugars]*B162,"Not Found",,2),"")</f>
        <v/>
      </c>
    </row>
    <row r="163" spans="2:8" x14ac:dyDescent="0.2">
      <c r="B163" t="str">
        <f t="shared" si="2"/>
        <v/>
      </c>
      <c r="C163" s="6" t="str">
        <f>IF(Sheet3!A163&lt;&gt;"",_xlfn.XLOOKUP(Sheet3!A163,FoodTable[Food],FoodTable[Per Unit],"Not Found",,2),"")</f>
        <v/>
      </c>
      <c r="D163" t="str" cm="1">
        <f t="array" ref="D163">IF(Sheet3!A163&lt;&gt;"",_xlfn.XLOOKUP(Sheet3!A163,FoodTable[Food],FoodTable[Calories (kcal)]*Sheet3!B163,"Not Found",,2),"")</f>
        <v/>
      </c>
      <c r="E163" t="str" cm="1">
        <f t="array" ref="E163">IF(Sheet3!A163&lt;&gt;"",_xlfn.XLOOKUP(Sheet3!A163,FoodTable[Food],FoodTable[Fats (g)]*B163,"Not Found",,2),"")</f>
        <v/>
      </c>
      <c r="F163" t="str" cm="1">
        <f t="array" ref="F163">IF(Sheet3!A163&lt;&gt;"",_xlfn.XLOOKUP(Sheet3!A163,FoodTable[Food],FoodTable[Proteins (g)]*B163,"Not Found",,2),"")</f>
        <v/>
      </c>
      <c r="G163" t="str" cm="1">
        <f t="array" ref="G163">IF(Sheet3!A163&lt;&gt;"",_xlfn.XLOOKUP(Sheet3!A163,FoodTable[Food],FoodTable[Fibers]*B163,"Not Found",,2),"")</f>
        <v/>
      </c>
      <c r="H163" t="str" cm="1">
        <f t="array" ref="H163">IF(Sheet3!A163&lt;&gt;"",_xlfn.XLOOKUP(Sheet3!A163,FoodTable[Food],FoodTable[Sugars]*B163,"Not Found",,2),"")</f>
        <v/>
      </c>
    </row>
    <row r="164" spans="2:8" x14ac:dyDescent="0.2">
      <c r="B164" t="str">
        <f t="shared" si="2"/>
        <v/>
      </c>
      <c r="C164" s="6" t="str">
        <f>IF(Sheet3!A164&lt;&gt;"",_xlfn.XLOOKUP(Sheet3!A164,FoodTable[Food],FoodTable[Per Unit],"Not Found",,2),"")</f>
        <v/>
      </c>
      <c r="D164" t="str" cm="1">
        <f t="array" ref="D164">IF(Sheet3!A164&lt;&gt;"",_xlfn.XLOOKUP(Sheet3!A164,FoodTable[Food],FoodTable[Calories (kcal)]*Sheet3!B164,"Not Found",,2),"")</f>
        <v/>
      </c>
      <c r="E164" t="str" cm="1">
        <f t="array" ref="E164">IF(Sheet3!A164&lt;&gt;"",_xlfn.XLOOKUP(Sheet3!A164,FoodTable[Food],FoodTable[Fats (g)]*B164,"Not Found",,2),"")</f>
        <v/>
      </c>
      <c r="F164" t="str" cm="1">
        <f t="array" ref="F164">IF(Sheet3!A164&lt;&gt;"",_xlfn.XLOOKUP(Sheet3!A164,FoodTable[Food],FoodTable[Proteins (g)]*B164,"Not Found",,2),"")</f>
        <v/>
      </c>
      <c r="G164" t="str" cm="1">
        <f t="array" ref="G164">IF(Sheet3!A164&lt;&gt;"",_xlfn.XLOOKUP(Sheet3!A164,FoodTable[Food],FoodTable[Fibers]*B164,"Not Found",,2),"")</f>
        <v/>
      </c>
      <c r="H164" t="str" cm="1">
        <f t="array" ref="H164">IF(Sheet3!A164&lt;&gt;"",_xlfn.XLOOKUP(Sheet3!A164,FoodTable[Food],FoodTable[Sugars]*B164,"Not Found",,2),"")</f>
        <v/>
      </c>
    </row>
    <row r="165" spans="2:8" x14ac:dyDescent="0.2">
      <c r="B165" t="str">
        <f t="shared" si="2"/>
        <v/>
      </c>
      <c r="C165" s="6" t="str">
        <f>IF(Sheet3!A165&lt;&gt;"",_xlfn.XLOOKUP(Sheet3!A165,FoodTable[Food],FoodTable[Per Unit],"Not Found",,2),"")</f>
        <v/>
      </c>
      <c r="D165" t="str" cm="1">
        <f t="array" ref="D165">IF(Sheet3!A165&lt;&gt;"",_xlfn.XLOOKUP(Sheet3!A165,FoodTable[Food],FoodTable[Calories (kcal)]*Sheet3!B165,"Not Found",,2),"")</f>
        <v/>
      </c>
      <c r="E165" t="str" cm="1">
        <f t="array" ref="E165">IF(Sheet3!A165&lt;&gt;"",_xlfn.XLOOKUP(Sheet3!A165,FoodTable[Food],FoodTable[Fats (g)]*B165,"Not Found",,2),"")</f>
        <v/>
      </c>
      <c r="F165" t="str" cm="1">
        <f t="array" ref="F165">IF(Sheet3!A165&lt;&gt;"",_xlfn.XLOOKUP(Sheet3!A165,FoodTable[Food],FoodTable[Proteins (g)]*B165,"Not Found",,2),"")</f>
        <v/>
      </c>
      <c r="G165" t="str" cm="1">
        <f t="array" ref="G165">IF(Sheet3!A165&lt;&gt;"",_xlfn.XLOOKUP(Sheet3!A165,FoodTable[Food],FoodTable[Fibers]*B165,"Not Found",,2),"")</f>
        <v/>
      </c>
      <c r="H165" t="str" cm="1">
        <f t="array" ref="H165">IF(Sheet3!A165&lt;&gt;"",_xlfn.XLOOKUP(Sheet3!A165,FoodTable[Food],FoodTable[Sugars]*B165,"Not Found",,2),"")</f>
        <v/>
      </c>
    </row>
    <row r="166" spans="2:8" x14ac:dyDescent="0.2">
      <c r="B166" t="str">
        <f t="shared" si="2"/>
        <v/>
      </c>
      <c r="C166" s="6" t="str">
        <f>IF(Sheet3!A166&lt;&gt;"",_xlfn.XLOOKUP(Sheet3!A166,FoodTable[Food],FoodTable[Per Unit],"Not Found",,2),"")</f>
        <v/>
      </c>
      <c r="D166" t="str" cm="1">
        <f t="array" ref="D166">IF(Sheet3!A166&lt;&gt;"",_xlfn.XLOOKUP(Sheet3!A166,FoodTable[Food],FoodTable[Calories (kcal)]*Sheet3!B166,"Not Found",,2),"")</f>
        <v/>
      </c>
      <c r="E166" t="str" cm="1">
        <f t="array" ref="E166">IF(Sheet3!A166&lt;&gt;"",_xlfn.XLOOKUP(Sheet3!A166,FoodTable[Food],FoodTable[Fats (g)]*B166,"Not Found",,2),"")</f>
        <v/>
      </c>
      <c r="F166" t="str" cm="1">
        <f t="array" ref="F166">IF(Sheet3!A166&lt;&gt;"",_xlfn.XLOOKUP(Sheet3!A166,FoodTable[Food],FoodTable[Proteins (g)]*B166,"Not Found",,2),"")</f>
        <v/>
      </c>
      <c r="G166" t="str" cm="1">
        <f t="array" ref="G166">IF(Sheet3!A166&lt;&gt;"",_xlfn.XLOOKUP(Sheet3!A166,FoodTable[Food],FoodTable[Fibers]*B166,"Not Found",,2),"")</f>
        <v/>
      </c>
      <c r="H166" t="str" cm="1">
        <f t="array" ref="H166">IF(Sheet3!A166&lt;&gt;"",_xlfn.XLOOKUP(Sheet3!A166,FoodTable[Food],FoodTable[Sugars]*B166,"Not Found",,2),"")</f>
        <v/>
      </c>
    </row>
    <row r="167" spans="2:8" x14ac:dyDescent="0.2">
      <c r="B167" t="str">
        <f t="shared" si="2"/>
        <v/>
      </c>
      <c r="C167" s="6" t="str">
        <f>IF(Sheet3!A167&lt;&gt;"",_xlfn.XLOOKUP(Sheet3!A167,FoodTable[Food],FoodTable[Per Unit],"Not Found",,2),"")</f>
        <v/>
      </c>
      <c r="D167" t="str" cm="1">
        <f t="array" ref="D167">IF(Sheet3!A167&lt;&gt;"",_xlfn.XLOOKUP(Sheet3!A167,FoodTable[Food],FoodTable[Calories (kcal)]*Sheet3!B167,"Not Found",,2),"")</f>
        <v/>
      </c>
      <c r="E167" t="str" cm="1">
        <f t="array" ref="E167">IF(Sheet3!A167&lt;&gt;"",_xlfn.XLOOKUP(Sheet3!A167,FoodTable[Food],FoodTable[Fats (g)]*B167,"Not Found",,2),"")</f>
        <v/>
      </c>
      <c r="F167" t="str" cm="1">
        <f t="array" ref="F167">IF(Sheet3!A167&lt;&gt;"",_xlfn.XLOOKUP(Sheet3!A167,FoodTable[Food],FoodTable[Proteins (g)]*B167,"Not Found",,2),"")</f>
        <v/>
      </c>
      <c r="G167" t="str" cm="1">
        <f t="array" ref="G167">IF(Sheet3!A167&lt;&gt;"",_xlfn.XLOOKUP(Sheet3!A167,FoodTable[Food],FoodTable[Fibers]*B167,"Not Found",,2),"")</f>
        <v/>
      </c>
      <c r="H167" t="str" cm="1">
        <f t="array" ref="H167">IF(Sheet3!A167&lt;&gt;"",_xlfn.XLOOKUP(Sheet3!A167,FoodTable[Food],FoodTable[Sugars]*B167,"Not Found",,2),"")</f>
        <v/>
      </c>
    </row>
    <row r="168" spans="2:8" x14ac:dyDescent="0.2">
      <c r="B168" t="str">
        <f t="shared" si="2"/>
        <v/>
      </c>
      <c r="C168" s="6" t="str">
        <f>IF(Sheet3!A168&lt;&gt;"",_xlfn.XLOOKUP(Sheet3!A168,FoodTable[Food],FoodTable[Per Unit],"Not Found",,2),"")</f>
        <v/>
      </c>
      <c r="D168" t="str" cm="1">
        <f t="array" ref="D168">IF(Sheet3!A168&lt;&gt;"",_xlfn.XLOOKUP(Sheet3!A168,FoodTable[Food],FoodTable[Calories (kcal)]*Sheet3!B168,"Not Found",,2),"")</f>
        <v/>
      </c>
      <c r="E168" t="str" cm="1">
        <f t="array" ref="E168">IF(Sheet3!A168&lt;&gt;"",_xlfn.XLOOKUP(Sheet3!A168,FoodTable[Food],FoodTable[Fats (g)]*B168,"Not Found",,2),"")</f>
        <v/>
      </c>
      <c r="F168" t="str" cm="1">
        <f t="array" ref="F168">IF(Sheet3!A168&lt;&gt;"",_xlfn.XLOOKUP(Sheet3!A168,FoodTable[Food],FoodTable[Proteins (g)]*B168,"Not Found",,2),"")</f>
        <v/>
      </c>
      <c r="G168" t="str" cm="1">
        <f t="array" ref="G168">IF(Sheet3!A168&lt;&gt;"",_xlfn.XLOOKUP(Sheet3!A168,FoodTable[Food],FoodTable[Fibers]*B168,"Not Found",,2),"")</f>
        <v/>
      </c>
      <c r="H168" t="str" cm="1">
        <f t="array" ref="H168">IF(Sheet3!A168&lt;&gt;"",_xlfn.XLOOKUP(Sheet3!A168,FoodTable[Food],FoodTable[Sugars]*B168,"Not Found",,2),"")</f>
        <v/>
      </c>
    </row>
    <row r="169" spans="2:8" x14ac:dyDescent="0.2">
      <c r="B169" t="str">
        <f t="shared" si="2"/>
        <v/>
      </c>
      <c r="C169" s="6" t="str">
        <f>IF(Sheet3!A169&lt;&gt;"",_xlfn.XLOOKUP(Sheet3!A169,FoodTable[Food],FoodTable[Per Unit],"Not Found",,2),"")</f>
        <v/>
      </c>
      <c r="D169" t="str" cm="1">
        <f t="array" ref="D169">IF(Sheet3!A169&lt;&gt;"",_xlfn.XLOOKUP(Sheet3!A169,FoodTable[Food],FoodTable[Calories (kcal)]*Sheet3!B169,"Not Found",,2),"")</f>
        <v/>
      </c>
      <c r="E169" t="str" cm="1">
        <f t="array" ref="E169">IF(Sheet3!A169&lt;&gt;"",_xlfn.XLOOKUP(Sheet3!A169,FoodTable[Food],FoodTable[Fats (g)]*B169,"Not Found",,2),"")</f>
        <v/>
      </c>
      <c r="F169" t="str" cm="1">
        <f t="array" ref="F169">IF(Sheet3!A169&lt;&gt;"",_xlfn.XLOOKUP(Sheet3!A169,FoodTable[Food],FoodTable[Proteins (g)]*B169,"Not Found",,2),"")</f>
        <v/>
      </c>
      <c r="G169" t="str" cm="1">
        <f t="array" ref="G169">IF(Sheet3!A169&lt;&gt;"",_xlfn.XLOOKUP(Sheet3!A169,FoodTable[Food],FoodTable[Fibers]*B169,"Not Found",,2),"")</f>
        <v/>
      </c>
      <c r="H169" t="str" cm="1">
        <f t="array" ref="H169">IF(Sheet3!A169&lt;&gt;"",_xlfn.XLOOKUP(Sheet3!A169,FoodTable[Food],FoodTable[Sugars]*B169,"Not Found",,2),"")</f>
        <v/>
      </c>
    </row>
    <row r="170" spans="2:8" x14ac:dyDescent="0.2">
      <c r="B170" t="str">
        <f t="shared" si="2"/>
        <v/>
      </c>
      <c r="C170" s="6" t="str">
        <f>IF(Sheet3!A170&lt;&gt;"",_xlfn.XLOOKUP(Sheet3!A170,FoodTable[Food],FoodTable[Per Unit],"Not Found",,2),"")</f>
        <v/>
      </c>
      <c r="D170" t="str" cm="1">
        <f t="array" ref="D170">IF(Sheet3!A170&lt;&gt;"",_xlfn.XLOOKUP(Sheet3!A170,FoodTable[Food],FoodTable[Calories (kcal)]*Sheet3!B170,"Not Found",,2),"")</f>
        <v/>
      </c>
      <c r="E170" t="str" cm="1">
        <f t="array" ref="E170">IF(Sheet3!A170&lt;&gt;"",_xlfn.XLOOKUP(Sheet3!A170,FoodTable[Food],FoodTable[Fats (g)]*B170,"Not Found",,2),"")</f>
        <v/>
      </c>
      <c r="F170" t="str" cm="1">
        <f t="array" ref="F170">IF(Sheet3!A170&lt;&gt;"",_xlfn.XLOOKUP(Sheet3!A170,FoodTable[Food],FoodTable[Proteins (g)]*B170,"Not Found",,2),"")</f>
        <v/>
      </c>
      <c r="G170" t="str" cm="1">
        <f t="array" ref="G170">IF(Sheet3!A170&lt;&gt;"",_xlfn.XLOOKUP(Sheet3!A170,FoodTable[Food],FoodTable[Fibers]*B170,"Not Found",,2),"")</f>
        <v/>
      </c>
      <c r="H170" t="str" cm="1">
        <f t="array" ref="H170">IF(Sheet3!A170&lt;&gt;"",_xlfn.XLOOKUP(Sheet3!A170,FoodTable[Food],FoodTable[Sugars]*B170,"Not Found",,2),"")</f>
        <v/>
      </c>
    </row>
    <row r="171" spans="2:8" x14ac:dyDescent="0.2">
      <c r="B171" t="str">
        <f t="shared" si="2"/>
        <v/>
      </c>
      <c r="C171" s="6" t="str">
        <f>IF(Sheet3!A171&lt;&gt;"",_xlfn.XLOOKUP(Sheet3!A171,FoodTable[Food],FoodTable[Per Unit],"Not Found",,2),"")</f>
        <v/>
      </c>
      <c r="D171" t="str" cm="1">
        <f t="array" ref="D171">IF(Sheet3!A171&lt;&gt;"",_xlfn.XLOOKUP(Sheet3!A171,FoodTable[Food],FoodTable[Calories (kcal)]*Sheet3!B171,"Not Found",,2),"")</f>
        <v/>
      </c>
      <c r="E171" t="str" cm="1">
        <f t="array" ref="E171">IF(Sheet3!A171&lt;&gt;"",_xlfn.XLOOKUP(Sheet3!A171,FoodTable[Food],FoodTable[Fats (g)]*B171,"Not Found",,2),"")</f>
        <v/>
      </c>
      <c r="F171" t="str" cm="1">
        <f t="array" ref="F171">IF(Sheet3!A171&lt;&gt;"",_xlfn.XLOOKUP(Sheet3!A171,FoodTable[Food],FoodTable[Proteins (g)]*B171,"Not Found",,2),"")</f>
        <v/>
      </c>
      <c r="G171" t="str" cm="1">
        <f t="array" ref="G171">IF(Sheet3!A171&lt;&gt;"",_xlfn.XLOOKUP(Sheet3!A171,FoodTable[Food],FoodTable[Fibers]*B171,"Not Found",,2),"")</f>
        <v/>
      </c>
      <c r="H171" t="str" cm="1">
        <f t="array" ref="H171">IF(Sheet3!A171&lt;&gt;"",_xlfn.XLOOKUP(Sheet3!A171,FoodTable[Food],FoodTable[Sugars]*B171,"Not Found",,2),"")</f>
        <v/>
      </c>
    </row>
    <row r="172" spans="2:8" x14ac:dyDescent="0.2">
      <c r="B172" t="str">
        <f t="shared" si="2"/>
        <v/>
      </c>
      <c r="C172" s="6" t="str">
        <f>IF(Sheet3!A172&lt;&gt;"",_xlfn.XLOOKUP(Sheet3!A172,FoodTable[Food],FoodTable[Per Unit],"Not Found",,2),"")</f>
        <v/>
      </c>
      <c r="D172" t="str" cm="1">
        <f t="array" ref="D172">IF(Sheet3!A172&lt;&gt;"",_xlfn.XLOOKUP(Sheet3!A172,FoodTable[Food],FoodTable[Calories (kcal)]*Sheet3!B172,"Not Found",,2),"")</f>
        <v/>
      </c>
      <c r="E172" t="str" cm="1">
        <f t="array" ref="E172">IF(Sheet3!A172&lt;&gt;"",_xlfn.XLOOKUP(Sheet3!A172,FoodTable[Food],FoodTable[Fats (g)]*B172,"Not Found",,2),"")</f>
        <v/>
      </c>
      <c r="F172" t="str" cm="1">
        <f t="array" ref="F172">IF(Sheet3!A172&lt;&gt;"",_xlfn.XLOOKUP(Sheet3!A172,FoodTable[Food],FoodTable[Proteins (g)]*B172,"Not Found",,2),"")</f>
        <v/>
      </c>
      <c r="G172" t="str" cm="1">
        <f t="array" ref="G172">IF(Sheet3!A172&lt;&gt;"",_xlfn.XLOOKUP(Sheet3!A172,FoodTable[Food],FoodTable[Fibers]*B172,"Not Found",,2),"")</f>
        <v/>
      </c>
      <c r="H172" t="str" cm="1">
        <f t="array" ref="H172">IF(Sheet3!A172&lt;&gt;"",_xlfn.XLOOKUP(Sheet3!A172,FoodTable[Food],FoodTable[Sugars]*B172,"Not Found",,2),"")</f>
        <v/>
      </c>
    </row>
    <row r="173" spans="2:8" x14ac:dyDescent="0.2">
      <c r="B173" t="str">
        <f t="shared" si="2"/>
        <v/>
      </c>
      <c r="C173" s="6" t="str">
        <f>IF(Sheet3!A173&lt;&gt;"",_xlfn.XLOOKUP(Sheet3!A173,FoodTable[Food],FoodTable[Per Unit],"Not Found",,2),"")</f>
        <v/>
      </c>
      <c r="D173" t="str" cm="1">
        <f t="array" ref="D173">IF(Sheet3!A173&lt;&gt;"",_xlfn.XLOOKUP(Sheet3!A173,FoodTable[Food],FoodTable[Calories (kcal)]*Sheet3!B173,"Not Found",,2),"")</f>
        <v/>
      </c>
      <c r="E173" t="str" cm="1">
        <f t="array" ref="E173">IF(Sheet3!A173&lt;&gt;"",_xlfn.XLOOKUP(Sheet3!A173,FoodTable[Food],FoodTable[Fats (g)]*B173,"Not Found",,2),"")</f>
        <v/>
      </c>
      <c r="F173" t="str" cm="1">
        <f t="array" ref="F173">IF(Sheet3!A173&lt;&gt;"",_xlfn.XLOOKUP(Sheet3!A173,FoodTable[Food],FoodTable[Proteins (g)]*B173,"Not Found",,2),"")</f>
        <v/>
      </c>
      <c r="G173" t="str" cm="1">
        <f t="array" ref="G173">IF(Sheet3!A173&lt;&gt;"",_xlfn.XLOOKUP(Sheet3!A173,FoodTable[Food],FoodTable[Fibers]*B173,"Not Found",,2),"")</f>
        <v/>
      </c>
      <c r="H173" t="str" cm="1">
        <f t="array" ref="H173">IF(Sheet3!A173&lt;&gt;"",_xlfn.XLOOKUP(Sheet3!A173,FoodTable[Food],FoodTable[Sugars]*B173,"Not Found",,2),"")</f>
        <v/>
      </c>
    </row>
    <row r="174" spans="2:8" x14ac:dyDescent="0.2">
      <c r="B174" t="str">
        <f t="shared" si="2"/>
        <v/>
      </c>
      <c r="C174" s="6" t="str">
        <f>IF(Sheet3!A174&lt;&gt;"",_xlfn.XLOOKUP(Sheet3!A174,FoodTable[Food],FoodTable[Per Unit],"Not Found",,2),"")</f>
        <v/>
      </c>
      <c r="D174" t="str" cm="1">
        <f t="array" ref="D174">IF(Sheet3!A174&lt;&gt;"",_xlfn.XLOOKUP(Sheet3!A174,FoodTable[Food],FoodTable[Calories (kcal)]*Sheet3!B174,"Not Found",,2),"")</f>
        <v/>
      </c>
      <c r="E174" t="str" cm="1">
        <f t="array" ref="E174">IF(Sheet3!A174&lt;&gt;"",_xlfn.XLOOKUP(Sheet3!A174,FoodTable[Food],FoodTable[Fats (g)]*B174,"Not Found",,2),"")</f>
        <v/>
      </c>
      <c r="F174" t="str" cm="1">
        <f t="array" ref="F174">IF(Sheet3!A174&lt;&gt;"",_xlfn.XLOOKUP(Sheet3!A174,FoodTable[Food],FoodTable[Proteins (g)]*B174,"Not Found",,2),"")</f>
        <v/>
      </c>
      <c r="G174" t="str" cm="1">
        <f t="array" ref="G174">IF(Sheet3!A174&lt;&gt;"",_xlfn.XLOOKUP(Sheet3!A174,FoodTable[Food],FoodTable[Fibers]*B174,"Not Found",,2),"")</f>
        <v/>
      </c>
      <c r="H174" t="str" cm="1">
        <f t="array" ref="H174">IF(Sheet3!A174&lt;&gt;"",_xlfn.XLOOKUP(Sheet3!A174,FoodTable[Food],FoodTable[Sugars]*B174,"Not Found",,2),"")</f>
        <v/>
      </c>
    </row>
    <row r="175" spans="2:8" x14ac:dyDescent="0.2">
      <c r="B175" t="str">
        <f t="shared" si="2"/>
        <v/>
      </c>
      <c r="C175" s="6" t="str">
        <f>IF(Sheet3!A175&lt;&gt;"",_xlfn.XLOOKUP(Sheet3!A175,FoodTable[Food],FoodTable[Per Unit],"Not Found",,2),"")</f>
        <v/>
      </c>
      <c r="D175" t="str" cm="1">
        <f t="array" ref="D175">IF(Sheet3!A175&lt;&gt;"",_xlfn.XLOOKUP(Sheet3!A175,FoodTable[Food],FoodTable[Calories (kcal)]*Sheet3!B175,"Not Found",,2),"")</f>
        <v/>
      </c>
      <c r="E175" t="str" cm="1">
        <f t="array" ref="E175">IF(Sheet3!A175&lt;&gt;"",_xlfn.XLOOKUP(Sheet3!A175,FoodTable[Food],FoodTable[Fats (g)]*B175,"Not Found",,2),"")</f>
        <v/>
      </c>
      <c r="F175" t="str" cm="1">
        <f t="array" ref="F175">IF(Sheet3!A175&lt;&gt;"",_xlfn.XLOOKUP(Sheet3!A175,FoodTable[Food],FoodTable[Proteins (g)]*B175,"Not Found",,2),"")</f>
        <v/>
      </c>
      <c r="G175" t="str" cm="1">
        <f t="array" ref="G175">IF(Sheet3!A175&lt;&gt;"",_xlfn.XLOOKUP(Sheet3!A175,FoodTable[Food],FoodTable[Fibers]*B175,"Not Found",,2),"")</f>
        <v/>
      </c>
      <c r="H175" t="str" cm="1">
        <f t="array" ref="H175">IF(Sheet3!A175&lt;&gt;"",_xlfn.XLOOKUP(Sheet3!A175,FoodTable[Food],FoodTable[Sugars]*B175,"Not Found",,2),"")</f>
        <v/>
      </c>
    </row>
    <row r="176" spans="2:8" x14ac:dyDescent="0.2">
      <c r="B176" t="str">
        <f t="shared" si="2"/>
        <v/>
      </c>
      <c r="C176" s="6" t="str">
        <f>IF(Sheet3!A176&lt;&gt;"",_xlfn.XLOOKUP(Sheet3!A176,FoodTable[Food],FoodTable[Per Unit],"Not Found",,2),"")</f>
        <v/>
      </c>
      <c r="D176" t="str" cm="1">
        <f t="array" ref="D176">IF(Sheet3!A176&lt;&gt;"",_xlfn.XLOOKUP(Sheet3!A176,FoodTable[Food],FoodTable[Calories (kcal)]*Sheet3!B176,"Not Found",,2),"")</f>
        <v/>
      </c>
      <c r="E176" t="str" cm="1">
        <f t="array" ref="E176">IF(Sheet3!A176&lt;&gt;"",_xlfn.XLOOKUP(Sheet3!A176,FoodTable[Food],FoodTable[Fats (g)]*B176,"Not Found",,2),"")</f>
        <v/>
      </c>
      <c r="F176" t="str" cm="1">
        <f t="array" ref="F176">IF(Sheet3!A176&lt;&gt;"",_xlfn.XLOOKUP(Sheet3!A176,FoodTable[Food],FoodTable[Proteins (g)]*B176,"Not Found",,2),"")</f>
        <v/>
      </c>
      <c r="G176" t="str" cm="1">
        <f t="array" ref="G176">IF(Sheet3!A176&lt;&gt;"",_xlfn.XLOOKUP(Sheet3!A176,FoodTable[Food],FoodTable[Fibers]*B176,"Not Found",,2),"")</f>
        <v/>
      </c>
      <c r="H176" t="str" cm="1">
        <f t="array" ref="H176">IF(Sheet3!A176&lt;&gt;"",_xlfn.XLOOKUP(Sheet3!A176,FoodTable[Food],FoodTable[Sugars]*B176,"Not Found",,2),"")</f>
        <v/>
      </c>
    </row>
    <row r="177" spans="2:8" x14ac:dyDescent="0.2">
      <c r="B177" t="str">
        <f t="shared" si="2"/>
        <v/>
      </c>
      <c r="C177" s="6" t="str">
        <f>IF(Sheet3!A177&lt;&gt;"",_xlfn.XLOOKUP(Sheet3!A177,FoodTable[Food],FoodTable[Per Unit],"Not Found",,2),"")</f>
        <v/>
      </c>
      <c r="D177" t="str" cm="1">
        <f t="array" ref="D177">IF(Sheet3!A177&lt;&gt;"",_xlfn.XLOOKUP(Sheet3!A177,FoodTable[Food],FoodTable[Calories (kcal)]*Sheet3!B177,"Not Found",,2),"")</f>
        <v/>
      </c>
      <c r="E177" t="str" cm="1">
        <f t="array" ref="E177">IF(Sheet3!A177&lt;&gt;"",_xlfn.XLOOKUP(Sheet3!A177,FoodTable[Food],FoodTable[Fats (g)]*B177,"Not Found",,2),"")</f>
        <v/>
      </c>
      <c r="F177" t="str" cm="1">
        <f t="array" ref="F177">IF(Sheet3!A177&lt;&gt;"",_xlfn.XLOOKUP(Sheet3!A177,FoodTable[Food],FoodTable[Proteins (g)]*B177,"Not Found",,2),"")</f>
        <v/>
      </c>
      <c r="G177" t="str" cm="1">
        <f t="array" ref="G177">IF(Sheet3!A177&lt;&gt;"",_xlfn.XLOOKUP(Sheet3!A177,FoodTable[Food],FoodTable[Fibers]*B177,"Not Found",,2),"")</f>
        <v/>
      </c>
      <c r="H177" t="str" cm="1">
        <f t="array" ref="H177">IF(Sheet3!A177&lt;&gt;"",_xlfn.XLOOKUP(Sheet3!A177,FoodTable[Food],FoodTable[Sugars]*B177,"Not Found",,2),"")</f>
        <v/>
      </c>
    </row>
    <row r="178" spans="2:8" x14ac:dyDescent="0.2">
      <c r="B178" t="str">
        <f t="shared" si="2"/>
        <v/>
      </c>
      <c r="C178" s="6" t="str">
        <f>IF(Sheet3!A178&lt;&gt;"",_xlfn.XLOOKUP(Sheet3!A178,FoodTable[Food],FoodTable[Per Unit],"Not Found",,2),"")</f>
        <v/>
      </c>
      <c r="D178" t="str" cm="1">
        <f t="array" ref="D178">IF(Sheet3!A178&lt;&gt;"",_xlfn.XLOOKUP(Sheet3!A178,FoodTable[Food],FoodTable[Calories (kcal)]*Sheet3!B178,"Not Found",,2),"")</f>
        <v/>
      </c>
      <c r="E178" t="str" cm="1">
        <f t="array" ref="E178">IF(Sheet3!A178&lt;&gt;"",_xlfn.XLOOKUP(Sheet3!A178,FoodTable[Food],FoodTable[Fats (g)]*B178,"Not Found",,2),"")</f>
        <v/>
      </c>
      <c r="F178" t="str" cm="1">
        <f t="array" ref="F178">IF(Sheet3!A178&lt;&gt;"",_xlfn.XLOOKUP(Sheet3!A178,FoodTable[Food],FoodTable[Proteins (g)]*B178,"Not Found",,2),"")</f>
        <v/>
      </c>
      <c r="G178" t="str" cm="1">
        <f t="array" ref="G178">IF(Sheet3!A178&lt;&gt;"",_xlfn.XLOOKUP(Sheet3!A178,FoodTable[Food],FoodTable[Fibers]*B178,"Not Found",,2),"")</f>
        <v/>
      </c>
      <c r="H178" t="str" cm="1">
        <f t="array" ref="H178">IF(Sheet3!A178&lt;&gt;"",_xlfn.XLOOKUP(Sheet3!A178,FoodTable[Food],FoodTable[Sugars]*B178,"Not Found",,2),"")</f>
        <v/>
      </c>
    </row>
    <row r="179" spans="2:8" x14ac:dyDescent="0.2">
      <c r="B179" t="str">
        <f t="shared" si="2"/>
        <v/>
      </c>
      <c r="C179" s="6" t="str">
        <f>IF(Sheet3!A179&lt;&gt;"",_xlfn.XLOOKUP(Sheet3!A179,FoodTable[Food],FoodTable[Per Unit],"Not Found",,2),"")</f>
        <v/>
      </c>
      <c r="D179" t="str" cm="1">
        <f t="array" ref="D179">IF(Sheet3!A179&lt;&gt;"",_xlfn.XLOOKUP(Sheet3!A179,FoodTable[Food],FoodTable[Calories (kcal)]*Sheet3!B179,"Not Found",,2),"")</f>
        <v/>
      </c>
      <c r="E179" t="str" cm="1">
        <f t="array" ref="E179">IF(Sheet3!A179&lt;&gt;"",_xlfn.XLOOKUP(Sheet3!A179,FoodTable[Food],FoodTable[Fats (g)]*B179,"Not Found",,2),"")</f>
        <v/>
      </c>
      <c r="F179" t="str" cm="1">
        <f t="array" ref="F179">IF(Sheet3!A179&lt;&gt;"",_xlfn.XLOOKUP(Sheet3!A179,FoodTable[Food],FoodTable[Proteins (g)]*B179,"Not Found",,2),"")</f>
        <v/>
      </c>
      <c r="G179" t="str" cm="1">
        <f t="array" ref="G179">IF(Sheet3!A179&lt;&gt;"",_xlfn.XLOOKUP(Sheet3!A179,FoodTable[Food],FoodTable[Fibers]*B179,"Not Found",,2),"")</f>
        <v/>
      </c>
      <c r="H179" t="str" cm="1">
        <f t="array" ref="H179">IF(Sheet3!A179&lt;&gt;"",_xlfn.XLOOKUP(Sheet3!A179,FoodTable[Food],FoodTable[Sugars]*B179,"Not Found",,2),"")</f>
        <v/>
      </c>
    </row>
    <row r="180" spans="2:8" x14ac:dyDescent="0.2">
      <c r="B180" t="str">
        <f t="shared" si="2"/>
        <v/>
      </c>
      <c r="C180" s="6" t="str">
        <f>IF(Sheet3!A180&lt;&gt;"",_xlfn.XLOOKUP(Sheet3!A180,FoodTable[Food],FoodTable[Per Unit],"Not Found",,2),"")</f>
        <v/>
      </c>
      <c r="D180" t="str" cm="1">
        <f t="array" ref="D180">IF(Sheet3!A180&lt;&gt;"",_xlfn.XLOOKUP(Sheet3!A180,FoodTable[Food],FoodTable[Calories (kcal)]*Sheet3!B180,"Not Found",,2),"")</f>
        <v/>
      </c>
      <c r="E180" t="str" cm="1">
        <f t="array" ref="E180">IF(Sheet3!A180&lt;&gt;"",_xlfn.XLOOKUP(Sheet3!A180,FoodTable[Food],FoodTable[Fats (g)]*B180,"Not Found",,2),"")</f>
        <v/>
      </c>
      <c r="F180" t="str" cm="1">
        <f t="array" ref="F180">IF(Sheet3!A180&lt;&gt;"",_xlfn.XLOOKUP(Sheet3!A180,FoodTable[Food],FoodTable[Proteins (g)]*B180,"Not Found",,2),"")</f>
        <v/>
      </c>
      <c r="G180" t="str" cm="1">
        <f t="array" ref="G180">IF(Sheet3!A180&lt;&gt;"",_xlfn.XLOOKUP(Sheet3!A180,FoodTable[Food],FoodTable[Fibers]*B180,"Not Found",,2),"")</f>
        <v/>
      </c>
      <c r="H180" t="str" cm="1">
        <f t="array" ref="H180">IF(Sheet3!A180&lt;&gt;"",_xlfn.XLOOKUP(Sheet3!A180,FoodTable[Food],FoodTable[Sugars]*B180,"Not Found",,2),"")</f>
        <v/>
      </c>
    </row>
    <row r="181" spans="2:8" x14ac:dyDescent="0.2">
      <c r="B181" t="str">
        <f t="shared" si="2"/>
        <v/>
      </c>
      <c r="C181" s="6" t="str">
        <f>IF(Sheet3!A181&lt;&gt;"",_xlfn.XLOOKUP(Sheet3!A181,FoodTable[Food],FoodTable[Per Unit],"Not Found",,2),"")</f>
        <v/>
      </c>
      <c r="D181" t="str" cm="1">
        <f t="array" ref="D181">IF(Sheet3!A181&lt;&gt;"",_xlfn.XLOOKUP(Sheet3!A181,FoodTable[Food],FoodTable[Calories (kcal)]*Sheet3!B181,"Not Found",,2),"")</f>
        <v/>
      </c>
      <c r="E181" t="str" cm="1">
        <f t="array" ref="E181">IF(Sheet3!A181&lt;&gt;"",_xlfn.XLOOKUP(Sheet3!A181,FoodTable[Food],FoodTable[Fats (g)]*B181,"Not Found",,2),"")</f>
        <v/>
      </c>
      <c r="F181" t="str" cm="1">
        <f t="array" ref="F181">IF(Sheet3!A181&lt;&gt;"",_xlfn.XLOOKUP(Sheet3!A181,FoodTable[Food],FoodTable[Proteins (g)]*B181,"Not Found",,2),"")</f>
        <v/>
      </c>
      <c r="G181" t="str" cm="1">
        <f t="array" ref="G181">IF(Sheet3!A181&lt;&gt;"",_xlfn.XLOOKUP(Sheet3!A181,FoodTable[Food],FoodTable[Fibers]*B181,"Not Found",,2),"")</f>
        <v/>
      </c>
      <c r="H181" t="str" cm="1">
        <f t="array" ref="H181">IF(Sheet3!A181&lt;&gt;"",_xlfn.XLOOKUP(Sheet3!A181,FoodTable[Food],FoodTable[Sugars]*B181,"Not Found",,2),"")</f>
        <v/>
      </c>
    </row>
    <row r="182" spans="2:8" x14ac:dyDescent="0.2">
      <c r="B182" t="str">
        <f t="shared" si="2"/>
        <v/>
      </c>
      <c r="C182" s="6" t="str">
        <f>IF(Sheet3!A182&lt;&gt;"",_xlfn.XLOOKUP(Sheet3!A182,FoodTable[Food],FoodTable[Per Unit],"Not Found",,2),"")</f>
        <v/>
      </c>
      <c r="D182" t="str" cm="1">
        <f t="array" ref="D182">IF(Sheet3!A182&lt;&gt;"",_xlfn.XLOOKUP(Sheet3!A182,FoodTable[Food],FoodTable[Calories (kcal)]*Sheet3!B182,"Not Found",,2),"")</f>
        <v/>
      </c>
      <c r="E182" t="str" cm="1">
        <f t="array" ref="E182">IF(Sheet3!A182&lt;&gt;"",_xlfn.XLOOKUP(Sheet3!A182,FoodTable[Food],FoodTable[Fats (g)]*B182,"Not Found",,2),"")</f>
        <v/>
      </c>
      <c r="F182" t="str" cm="1">
        <f t="array" ref="F182">IF(Sheet3!A182&lt;&gt;"",_xlfn.XLOOKUP(Sheet3!A182,FoodTable[Food],FoodTable[Proteins (g)]*B182,"Not Found",,2),"")</f>
        <v/>
      </c>
      <c r="G182" t="str" cm="1">
        <f t="array" ref="G182">IF(Sheet3!A182&lt;&gt;"",_xlfn.XLOOKUP(Sheet3!A182,FoodTable[Food],FoodTable[Fibers]*B182,"Not Found",,2),"")</f>
        <v/>
      </c>
      <c r="H182" t="str" cm="1">
        <f t="array" ref="H182">IF(Sheet3!A182&lt;&gt;"",_xlfn.XLOOKUP(Sheet3!A182,FoodTable[Food],FoodTable[Sugars]*B182,"Not Found",,2),"")</f>
        <v/>
      </c>
    </row>
    <row r="183" spans="2:8" x14ac:dyDescent="0.2">
      <c r="B183" t="str">
        <f t="shared" si="2"/>
        <v/>
      </c>
      <c r="C183" s="6" t="str">
        <f>IF(Sheet3!A183&lt;&gt;"",_xlfn.XLOOKUP(Sheet3!A183,FoodTable[Food],FoodTable[Per Unit],"Not Found",,2),"")</f>
        <v/>
      </c>
      <c r="D183" t="str" cm="1">
        <f t="array" ref="D183">IF(Sheet3!A183&lt;&gt;"",_xlfn.XLOOKUP(Sheet3!A183,FoodTable[Food],FoodTable[Calories (kcal)]*Sheet3!B183,"Not Found",,2),"")</f>
        <v/>
      </c>
      <c r="E183" t="str" cm="1">
        <f t="array" ref="E183">IF(Sheet3!A183&lt;&gt;"",_xlfn.XLOOKUP(Sheet3!A183,FoodTable[Food],FoodTable[Fats (g)]*B183,"Not Found",,2),"")</f>
        <v/>
      </c>
      <c r="F183" t="str" cm="1">
        <f t="array" ref="F183">IF(Sheet3!A183&lt;&gt;"",_xlfn.XLOOKUP(Sheet3!A183,FoodTable[Food],FoodTable[Proteins (g)]*B183,"Not Found",,2),"")</f>
        <v/>
      </c>
      <c r="G183" t="str" cm="1">
        <f t="array" ref="G183">IF(Sheet3!A183&lt;&gt;"",_xlfn.XLOOKUP(Sheet3!A183,FoodTable[Food],FoodTable[Fibers]*B183,"Not Found",,2),"")</f>
        <v/>
      </c>
      <c r="H183" t="str" cm="1">
        <f t="array" ref="H183">IF(Sheet3!A183&lt;&gt;"",_xlfn.XLOOKUP(Sheet3!A183,FoodTable[Food],FoodTable[Sugars]*B183,"Not Found",,2),"")</f>
        <v/>
      </c>
    </row>
    <row r="184" spans="2:8" x14ac:dyDescent="0.2">
      <c r="B184" t="str">
        <f t="shared" si="2"/>
        <v/>
      </c>
      <c r="C184" s="6" t="str">
        <f>IF(Sheet3!A184&lt;&gt;"",_xlfn.XLOOKUP(Sheet3!A184,FoodTable[Food],FoodTable[Per Unit],"Not Found",,2),"")</f>
        <v/>
      </c>
      <c r="D184" t="str" cm="1">
        <f t="array" ref="D184">IF(Sheet3!A184&lt;&gt;"",_xlfn.XLOOKUP(Sheet3!A184,FoodTable[Food],FoodTable[Calories (kcal)]*Sheet3!B184,"Not Found",,2),"")</f>
        <v/>
      </c>
      <c r="E184" t="str" cm="1">
        <f t="array" ref="E184">IF(Sheet3!A184&lt;&gt;"",_xlfn.XLOOKUP(Sheet3!A184,FoodTable[Food],FoodTable[Fats (g)]*B184,"Not Found",,2),"")</f>
        <v/>
      </c>
      <c r="F184" t="str" cm="1">
        <f t="array" ref="F184">IF(Sheet3!A184&lt;&gt;"",_xlfn.XLOOKUP(Sheet3!A184,FoodTable[Food],FoodTable[Proteins (g)]*B184,"Not Found",,2),"")</f>
        <v/>
      </c>
      <c r="G184" t="str" cm="1">
        <f t="array" ref="G184">IF(Sheet3!A184&lt;&gt;"",_xlfn.XLOOKUP(Sheet3!A184,FoodTable[Food],FoodTable[Fibers]*B184,"Not Found",,2),"")</f>
        <v/>
      </c>
      <c r="H184" t="str" cm="1">
        <f t="array" ref="H184">IF(Sheet3!A184&lt;&gt;"",_xlfn.XLOOKUP(Sheet3!A184,FoodTable[Food],FoodTable[Sugars]*B184,"Not Found",,2),"")</f>
        <v/>
      </c>
    </row>
    <row r="185" spans="2:8" x14ac:dyDescent="0.2">
      <c r="B185" t="str">
        <f t="shared" si="2"/>
        <v/>
      </c>
      <c r="C185" s="6" t="str">
        <f>IF(Sheet3!A185&lt;&gt;"",_xlfn.XLOOKUP(Sheet3!A185,FoodTable[Food],FoodTable[Per Unit],"Not Found",,2),"")</f>
        <v/>
      </c>
      <c r="D185" t="str" cm="1">
        <f t="array" ref="D185">IF(Sheet3!A185&lt;&gt;"",_xlfn.XLOOKUP(Sheet3!A185,FoodTable[Food],FoodTable[Calories (kcal)]*Sheet3!B185,"Not Found",,2),"")</f>
        <v/>
      </c>
      <c r="E185" t="str" cm="1">
        <f t="array" ref="E185">IF(Sheet3!A185&lt;&gt;"",_xlfn.XLOOKUP(Sheet3!A185,FoodTable[Food],FoodTable[Fats (g)]*B185,"Not Found",,2),"")</f>
        <v/>
      </c>
      <c r="F185" t="str" cm="1">
        <f t="array" ref="F185">IF(Sheet3!A185&lt;&gt;"",_xlfn.XLOOKUP(Sheet3!A185,FoodTable[Food],FoodTable[Proteins (g)]*B185,"Not Found",,2),"")</f>
        <v/>
      </c>
      <c r="G185" t="str" cm="1">
        <f t="array" ref="G185">IF(Sheet3!A185&lt;&gt;"",_xlfn.XLOOKUP(Sheet3!A185,FoodTable[Food],FoodTable[Fibers]*B185,"Not Found",,2),"")</f>
        <v/>
      </c>
      <c r="H185" t="str" cm="1">
        <f t="array" ref="H185">IF(Sheet3!A185&lt;&gt;"",_xlfn.XLOOKUP(Sheet3!A185,FoodTable[Food],FoodTable[Sugars]*B185,"Not Found",,2),"")</f>
        <v/>
      </c>
    </row>
    <row r="186" spans="2:8" x14ac:dyDescent="0.2">
      <c r="B186" t="str">
        <f t="shared" si="2"/>
        <v/>
      </c>
      <c r="C186" s="6" t="str">
        <f>IF(Sheet3!A186&lt;&gt;"",_xlfn.XLOOKUP(Sheet3!A186,FoodTable[Food],FoodTable[Per Unit],"Not Found",,2),"")</f>
        <v/>
      </c>
      <c r="D186" t="str" cm="1">
        <f t="array" ref="D186">IF(Sheet3!A186&lt;&gt;"",_xlfn.XLOOKUP(Sheet3!A186,FoodTable[Food],FoodTable[Calories (kcal)]*Sheet3!B186,"Not Found",,2),"")</f>
        <v/>
      </c>
      <c r="E186" t="str" cm="1">
        <f t="array" ref="E186">IF(Sheet3!A186&lt;&gt;"",_xlfn.XLOOKUP(Sheet3!A186,FoodTable[Food],FoodTable[Fats (g)]*B186,"Not Found",,2),"")</f>
        <v/>
      </c>
      <c r="F186" t="str" cm="1">
        <f t="array" ref="F186">IF(Sheet3!A186&lt;&gt;"",_xlfn.XLOOKUP(Sheet3!A186,FoodTable[Food],FoodTable[Proteins (g)]*B186,"Not Found",,2),"")</f>
        <v/>
      </c>
      <c r="G186" t="str" cm="1">
        <f t="array" ref="G186">IF(Sheet3!A186&lt;&gt;"",_xlfn.XLOOKUP(Sheet3!A186,FoodTable[Food],FoodTable[Fibers]*B186,"Not Found",,2),"")</f>
        <v/>
      </c>
      <c r="H186" t="str" cm="1">
        <f t="array" ref="H186">IF(Sheet3!A186&lt;&gt;"",_xlfn.XLOOKUP(Sheet3!A186,FoodTable[Food],FoodTable[Sugars]*B186,"Not Found",,2),"")</f>
        <v/>
      </c>
    </row>
    <row r="187" spans="2:8" x14ac:dyDescent="0.2">
      <c r="B187" t="str">
        <f t="shared" si="2"/>
        <v/>
      </c>
      <c r="C187" s="6" t="str">
        <f>IF(Sheet3!A187&lt;&gt;"",_xlfn.XLOOKUP(Sheet3!A187,FoodTable[Food],FoodTable[Per Unit],"Not Found",,2),"")</f>
        <v/>
      </c>
      <c r="D187" t="str" cm="1">
        <f t="array" ref="D187">IF(Sheet3!A187&lt;&gt;"",_xlfn.XLOOKUP(Sheet3!A187,FoodTable[Food],FoodTable[Calories (kcal)]*Sheet3!B187,"Not Found",,2),"")</f>
        <v/>
      </c>
      <c r="E187" t="str" cm="1">
        <f t="array" ref="E187">IF(Sheet3!A187&lt;&gt;"",_xlfn.XLOOKUP(Sheet3!A187,FoodTable[Food],FoodTable[Fats (g)]*B187,"Not Found",,2),"")</f>
        <v/>
      </c>
      <c r="F187" t="str" cm="1">
        <f t="array" ref="F187">IF(Sheet3!A187&lt;&gt;"",_xlfn.XLOOKUP(Sheet3!A187,FoodTable[Food],FoodTable[Proteins (g)]*B187,"Not Found",,2),"")</f>
        <v/>
      </c>
      <c r="G187" t="str" cm="1">
        <f t="array" ref="G187">IF(Sheet3!A187&lt;&gt;"",_xlfn.XLOOKUP(Sheet3!A187,FoodTable[Food],FoodTable[Fibers]*B187,"Not Found",,2),"")</f>
        <v/>
      </c>
      <c r="H187" t="str" cm="1">
        <f t="array" ref="H187">IF(Sheet3!A187&lt;&gt;"",_xlfn.XLOOKUP(Sheet3!A187,FoodTable[Food],FoodTable[Sugars]*B187,"Not Found",,2),"")</f>
        <v/>
      </c>
    </row>
    <row r="188" spans="2:8" x14ac:dyDescent="0.2">
      <c r="B188" t="str">
        <f t="shared" si="2"/>
        <v/>
      </c>
      <c r="C188" s="6" t="str">
        <f>IF(Sheet3!A188&lt;&gt;"",_xlfn.XLOOKUP(Sheet3!A188,FoodTable[Food],FoodTable[Per Unit],"Not Found",,2),"")</f>
        <v/>
      </c>
      <c r="D188" t="str" cm="1">
        <f t="array" ref="D188">IF(Sheet3!A188&lt;&gt;"",_xlfn.XLOOKUP(Sheet3!A188,FoodTable[Food],FoodTable[Calories (kcal)]*Sheet3!B188,"Not Found",,2),"")</f>
        <v/>
      </c>
      <c r="E188" t="str" cm="1">
        <f t="array" ref="E188">IF(Sheet3!A188&lt;&gt;"",_xlfn.XLOOKUP(Sheet3!A188,FoodTable[Food],FoodTable[Fats (g)]*B188,"Not Found",,2),"")</f>
        <v/>
      </c>
      <c r="F188" t="str" cm="1">
        <f t="array" ref="F188">IF(Sheet3!A188&lt;&gt;"",_xlfn.XLOOKUP(Sheet3!A188,FoodTable[Food],FoodTable[Proteins (g)]*B188,"Not Found",,2),"")</f>
        <v/>
      </c>
      <c r="G188" t="str" cm="1">
        <f t="array" ref="G188">IF(Sheet3!A188&lt;&gt;"",_xlfn.XLOOKUP(Sheet3!A188,FoodTable[Food],FoodTable[Fibers]*B188,"Not Found",,2),"")</f>
        <v/>
      </c>
      <c r="H188" t="str" cm="1">
        <f t="array" ref="H188">IF(Sheet3!A188&lt;&gt;"",_xlfn.XLOOKUP(Sheet3!A188,FoodTable[Food],FoodTable[Sugars]*B188,"Not Found",,2),"")</f>
        <v/>
      </c>
    </row>
    <row r="189" spans="2:8" x14ac:dyDescent="0.2">
      <c r="B189" t="str">
        <f t="shared" si="2"/>
        <v/>
      </c>
      <c r="C189" s="6" t="str">
        <f>IF(Sheet3!A189&lt;&gt;"",_xlfn.XLOOKUP(Sheet3!A189,FoodTable[Food],FoodTable[Per Unit],"Not Found",,2),"")</f>
        <v/>
      </c>
      <c r="D189" t="str" cm="1">
        <f t="array" ref="D189">IF(Sheet3!A189&lt;&gt;"",_xlfn.XLOOKUP(Sheet3!A189,FoodTable[Food],FoodTable[Calories (kcal)]*Sheet3!B189,"Not Found",,2),"")</f>
        <v/>
      </c>
      <c r="E189" t="str" cm="1">
        <f t="array" ref="E189">IF(Sheet3!A189&lt;&gt;"",_xlfn.XLOOKUP(Sheet3!A189,FoodTable[Food],FoodTable[Fats (g)]*B189,"Not Found",,2),"")</f>
        <v/>
      </c>
      <c r="F189" t="str" cm="1">
        <f t="array" ref="F189">IF(Sheet3!A189&lt;&gt;"",_xlfn.XLOOKUP(Sheet3!A189,FoodTable[Food],FoodTable[Proteins (g)]*B189,"Not Found",,2),"")</f>
        <v/>
      </c>
      <c r="G189" t="str" cm="1">
        <f t="array" ref="G189">IF(Sheet3!A189&lt;&gt;"",_xlfn.XLOOKUP(Sheet3!A189,FoodTable[Food],FoodTable[Fibers]*B189,"Not Found",,2),"")</f>
        <v/>
      </c>
      <c r="H189" t="str" cm="1">
        <f t="array" ref="H189">IF(Sheet3!A189&lt;&gt;"",_xlfn.XLOOKUP(Sheet3!A189,FoodTable[Food],FoodTable[Sugars]*B189,"Not Found",,2),"")</f>
        <v/>
      </c>
    </row>
    <row r="190" spans="2:8" x14ac:dyDescent="0.2">
      <c r="B190" t="str">
        <f t="shared" si="2"/>
        <v/>
      </c>
      <c r="C190" s="6" t="str">
        <f>IF(Sheet3!A190&lt;&gt;"",_xlfn.XLOOKUP(Sheet3!A190,FoodTable[Food],FoodTable[Per Unit],"Not Found",,2),"")</f>
        <v/>
      </c>
      <c r="D190" t="str" cm="1">
        <f t="array" ref="D190">IF(Sheet3!A190&lt;&gt;"",_xlfn.XLOOKUP(Sheet3!A190,FoodTable[Food],FoodTable[Calories (kcal)]*Sheet3!B190,"Not Found",,2),"")</f>
        <v/>
      </c>
      <c r="E190" t="str" cm="1">
        <f t="array" ref="E190">IF(Sheet3!A190&lt;&gt;"",_xlfn.XLOOKUP(Sheet3!A190,FoodTable[Food],FoodTable[Fats (g)]*B190,"Not Found",,2),"")</f>
        <v/>
      </c>
      <c r="F190" t="str" cm="1">
        <f t="array" ref="F190">IF(Sheet3!A190&lt;&gt;"",_xlfn.XLOOKUP(Sheet3!A190,FoodTable[Food],FoodTable[Proteins (g)]*B190,"Not Found",,2),"")</f>
        <v/>
      </c>
      <c r="G190" t="str" cm="1">
        <f t="array" ref="G190">IF(Sheet3!A190&lt;&gt;"",_xlfn.XLOOKUP(Sheet3!A190,FoodTable[Food],FoodTable[Fibers]*B190,"Not Found",,2),"")</f>
        <v/>
      </c>
      <c r="H190" t="str" cm="1">
        <f t="array" ref="H190">IF(Sheet3!A190&lt;&gt;"",_xlfn.XLOOKUP(Sheet3!A190,FoodTable[Food],FoodTable[Sugars]*B190,"Not Found",,2),"")</f>
        <v/>
      </c>
    </row>
    <row r="191" spans="2:8" x14ac:dyDescent="0.2">
      <c r="B191" t="str">
        <f t="shared" si="2"/>
        <v/>
      </c>
      <c r="C191" s="6" t="str">
        <f>IF(Sheet3!A191&lt;&gt;"",_xlfn.XLOOKUP(Sheet3!A191,FoodTable[Food],FoodTable[Per Unit],"Not Found",,2),"")</f>
        <v/>
      </c>
      <c r="D191" t="str" cm="1">
        <f t="array" ref="D191">IF(Sheet3!A191&lt;&gt;"",_xlfn.XLOOKUP(Sheet3!A191,FoodTable[Food],FoodTable[Calories (kcal)]*Sheet3!B191,"Not Found",,2),"")</f>
        <v/>
      </c>
      <c r="E191" t="str" cm="1">
        <f t="array" ref="E191">IF(Sheet3!A191&lt;&gt;"",_xlfn.XLOOKUP(Sheet3!A191,FoodTable[Food],FoodTable[Fats (g)]*B191,"Not Found",,2),"")</f>
        <v/>
      </c>
      <c r="F191" t="str" cm="1">
        <f t="array" ref="F191">IF(Sheet3!A191&lt;&gt;"",_xlfn.XLOOKUP(Sheet3!A191,FoodTable[Food],FoodTable[Proteins (g)]*B191,"Not Found",,2),"")</f>
        <v/>
      </c>
      <c r="G191" t="str" cm="1">
        <f t="array" ref="G191">IF(Sheet3!A191&lt;&gt;"",_xlfn.XLOOKUP(Sheet3!A191,FoodTable[Food],FoodTable[Fibers]*B191,"Not Found",,2),"")</f>
        <v/>
      </c>
      <c r="H191" t="str" cm="1">
        <f t="array" ref="H191">IF(Sheet3!A191&lt;&gt;"",_xlfn.XLOOKUP(Sheet3!A191,FoodTable[Food],FoodTable[Sugars]*B191,"Not Found",,2),"")</f>
        <v/>
      </c>
    </row>
    <row r="192" spans="2:8" x14ac:dyDescent="0.2">
      <c r="B192" t="str">
        <f t="shared" si="2"/>
        <v/>
      </c>
      <c r="C192" s="6" t="str">
        <f>IF(Sheet3!A192&lt;&gt;"",_xlfn.XLOOKUP(Sheet3!A192,FoodTable[Food],FoodTable[Per Unit],"Not Found",,2),"")</f>
        <v/>
      </c>
      <c r="D192" t="str" cm="1">
        <f t="array" ref="D192">IF(Sheet3!A192&lt;&gt;"",_xlfn.XLOOKUP(Sheet3!A192,FoodTable[Food],FoodTable[Calories (kcal)]*Sheet3!B192,"Not Found",,2),"")</f>
        <v/>
      </c>
      <c r="E192" t="str" cm="1">
        <f t="array" ref="E192">IF(Sheet3!A192&lt;&gt;"",_xlfn.XLOOKUP(Sheet3!A192,FoodTable[Food],FoodTable[Fats (g)]*B192,"Not Found",,2),"")</f>
        <v/>
      </c>
      <c r="F192" t="str" cm="1">
        <f t="array" ref="F192">IF(Sheet3!A192&lt;&gt;"",_xlfn.XLOOKUP(Sheet3!A192,FoodTable[Food],FoodTable[Proteins (g)]*B192,"Not Found",,2),"")</f>
        <v/>
      </c>
      <c r="G192" t="str" cm="1">
        <f t="array" ref="G192">IF(Sheet3!A192&lt;&gt;"",_xlfn.XLOOKUP(Sheet3!A192,FoodTable[Food],FoodTable[Fibers]*B192,"Not Found",,2),"")</f>
        <v/>
      </c>
      <c r="H192" t="str" cm="1">
        <f t="array" ref="H192">IF(Sheet3!A192&lt;&gt;"",_xlfn.XLOOKUP(Sheet3!A192,FoodTable[Food],FoodTable[Sugars]*B192,"Not Found",,2),"")</f>
        <v/>
      </c>
    </row>
    <row r="193" spans="2:8" x14ac:dyDescent="0.2">
      <c r="B193" t="str">
        <f t="shared" si="2"/>
        <v/>
      </c>
      <c r="C193" s="6" t="str">
        <f>IF(Sheet3!A193&lt;&gt;"",_xlfn.XLOOKUP(Sheet3!A193,FoodTable[Food],FoodTable[Per Unit],"Not Found",,2),"")</f>
        <v/>
      </c>
      <c r="D193" t="str" cm="1">
        <f t="array" ref="D193">IF(Sheet3!A193&lt;&gt;"",_xlfn.XLOOKUP(Sheet3!A193,FoodTable[Food],FoodTable[Calories (kcal)]*Sheet3!B193,"Not Found",,2),"")</f>
        <v/>
      </c>
      <c r="E193" t="str" cm="1">
        <f t="array" ref="E193">IF(Sheet3!A193&lt;&gt;"",_xlfn.XLOOKUP(Sheet3!A193,FoodTable[Food],FoodTable[Fats (g)]*B193,"Not Found",,2),"")</f>
        <v/>
      </c>
      <c r="F193" t="str" cm="1">
        <f t="array" ref="F193">IF(Sheet3!A193&lt;&gt;"",_xlfn.XLOOKUP(Sheet3!A193,FoodTable[Food],FoodTable[Proteins (g)]*B193,"Not Found",,2),"")</f>
        <v/>
      </c>
      <c r="G193" t="str" cm="1">
        <f t="array" ref="G193">IF(Sheet3!A193&lt;&gt;"",_xlfn.XLOOKUP(Sheet3!A193,FoodTable[Food],FoodTable[Fibers]*B193,"Not Found",,2),"")</f>
        <v/>
      </c>
      <c r="H193" t="str" cm="1">
        <f t="array" ref="H193">IF(Sheet3!A193&lt;&gt;"",_xlfn.XLOOKUP(Sheet3!A193,FoodTable[Food],FoodTable[Sugars]*B193,"Not Found",,2),"")</f>
        <v/>
      </c>
    </row>
    <row r="194" spans="2:8" x14ac:dyDescent="0.2">
      <c r="B194" t="str">
        <f t="shared" si="2"/>
        <v/>
      </c>
      <c r="C194" s="6" t="str">
        <f>IF(Sheet3!A194&lt;&gt;"",_xlfn.XLOOKUP(Sheet3!A194,FoodTable[Food],FoodTable[Per Unit],"Not Found",,2),"")</f>
        <v/>
      </c>
      <c r="D194" t="str" cm="1">
        <f t="array" ref="D194">IF(Sheet3!A194&lt;&gt;"",_xlfn.XLOOKUP(Sheet3!A194,FoodTable[Food],FoodTable[Calories (kcal)]*Sheet3!B194,"Not Found",,2),"")</f>
        <v/>
      </c>
      <c r="E194" t="str" cm="1">
        <f t="array" ref="E194">IF(Sheet3!A194&lt;&gt;"",_xlfn.XLOOKUP(Sheet3!A194,FoodTable[Food],FoodTable[Fats (g)]*B194,"Not Found",,2),"")</f>
        <v/>
      </c>
      <c r="F194" t="str" cm="1">
        <f t="array" ref="F194">IF(Sheet3!A194&lt;&gt;"",_xlfn.XLOOKUP(Sheet3!A194,FoodTable[Food],FoodTable[Proteins (g)]*B194,"Not Found",,2),"")</f>
        <v/>
      </c>
      <c r="G194" t="str" cm="1">
        <f t="array" ref="G194">IF(Sheet3!A194&lt;&gt;"",_xlfn.XLOOKUP(Sheet3!A194,FoodTable[Food],FoodTable[Fibers]*B194,"Not Found",,2),"")</f>
        <v/>
      </c>
      <c r="H194" t="str" cm="1">
        <f t="array" ref="H194">IF(Sheet3!A194&lt;&gt;"",_xlfn.XLOOKUP(Sheet3!A194,FoodTable[Food],FoodTable[Sugars]*B194,"Not Found",,2),"")</f>
        <v/>
      </c>
    </row>
    <row r="195" spans="2:8" x14ac:dyDescent="0.2">
      <c r="B195" t="str">
        <f t="shared" si="2"/>
        <v/>
      </c>
      <c r="C195" s="6" t="str">
        <f>IF(Sheet3!A195&lt;&gt;"",_xlfn.XLOOKUP(Sheet3!A195,FoodTable[Food],FoodTable[Per Unit],"Not Found",,2),"")</f>
        <v/>
      </c>
      <c r="D195" t="str" cm="1">
        <f t="array" ref="D195">IF(Sheet3!A195&lt;&gt;"",_xlfn.XLOOKUP(Sheet3!A195,FoodTable[Food],FoodTable[Calories (kcal)]*Sheet3!B195,"Not Found",,2),"")</f>
        <v/>
      </c>
      <c r="E195" t="str" cm="1">
        <f t="array" ref="E195">IF(Sheet3!A195&lt;&gt;"",_xlfn.XLOOKUP(Sheet3!A195,FoodTable[Food],FoodTable[Fats (g)]*B195,"Not Found",,2),"")</f>
        <v/>
      </c>
      <c r="F195" t="str" cm="1">
        <f t="array" ref="F195">IF(Sheet3!A195&lt;&gt;"",_xlfn.XLOOKUP(Sheet3!A195,FoodTable[Food],FoodTable[Proteins (g)]*B195,"Not Found",,2),"")</f>
        <v/>
      </c>
      <c r="G195" t="str" cm="1">
        <f t="array" ref="G195">IF(Sheet3!A195&lt;&gt;"",_xlfn.XLOOKUP(Sheet3!A195,FoodTable[Food],FoodTable[Fibers]*B195,"Not Found",,2),"")</f>
        <v/>
      </c>
      <c r="H195" t="str" cm="1">
        <f t="array" ref="H195">IF(Sheet3!A195&lt;&gt;"",_xlfn.XLOOKUP(Sheet3!A195,FoodTable[Food],FoodTable[Sugars]*B195,"Not Found",,2),"")</f>
        <v/>
      </c>
    </row>
    <row r="196" spans="2:8" x14ac:dyDescent="0.2">
      <c r="B196" t="str">
        <f t="shared" ref="B196:B259" si="3">IF(A196&lt;&gt;"",1,"")</f>
        <v/>
      </c>
      <c r="C196" s="6" t="str">
        <f>IF(Sheet3!A196&lt;&gt;"",_xlfn.XLOOKUP(Sheet3!A196,FoodTable[Food],FoodTable[Per Unit],"Not Found",,2),"")</f>
        <v/>
      </c>
      <c r="D196" t="str" cm="1">
        <f t="array" ref="D196">IF(Sheet3!A196&lt;&gt;"",_xlfn.XLOOKUP(Sheet3!A196,FoodTable[Food],FoodTable[Calories (kcal)]*Sheet3!B196,"Not Found",,2),"")</f>
        <v/>
      </c>
      <c r="E196" t="str" cm="1">
        <f t="array" ref="E196">IF(Sheet3!A196&lt;&gt;"",_xlfn.XLOOKUP(Sheet3!A196,FoodTable[Food],FoodTable[Fats (g)]*B196,"Not Found",,2),"")</f>
        <v/>
      </c>
      <c r="F196" t="str" cm="1">
        <f t="array" ref="F196">IF(Sheet3!A196&lt;&gt;"",_xlfn.XLOOKUP(Sheet3!A196,FoodTable[Food],FoodTable[Proteins (g)]*B196,"Not Found",,2),"")</f>
        <v/>
      </c>
      <c r="G196" t="str" cm="1">
        <f t="array" ref="G196">IF(Sheet3!A196&lt;&gt;"",_xlfn.XLOOKUP(Sheet3!A196,FoodTable[Food],FoodTable[Fibers]*B196,"Not Found",,2),"")</f>
        <v/>
      </c>
      <c r="H196" t="str" cm="1">
        <f t="array" ref="H196">IF(Sheet3!A196&lt;&gt;"",_xlfn.XLOOKUP(Sheet3!A196,FoodTable[Food],FoodTable[Sugars]*B196,"Not Found",,2),"")</f>
        <v/>
      </c>
    </row>
    <row r="197" spans="2:8" x14ac:dyDescent="0.2">
      <c r="B197" t="str">
        <f t="shared" si="3"/>
        <v/>
      </c>
      <c r="C197" s="6" t="str">
        <f>IF(Sheet3!A197&lt;&gt;"",_xlfn.XLOOKUP(Sheet3!A197,FoodTable[Food],FoodTable[Per Unit],"Not Found",,2),"")</f>
        <v/>
      </c>
      <c r="D197" t="str" cm="1">
        <f t="array" ref="D197">IF(Sheet3!A197&lt;&gt;"",_xlfn.XLOOKUP(Sheet3!A197,FoodTable[Food],FoodTable[Calories (kcal)]*Sheet3!B197,"Not Found",,2),"")</f>
        <v/>
      </c>
      <c r="E197" t="str" cm="1">
        <f t="array" ref="E197">IF(Sheet3!A197&lt;&gt;"",_xlfn.XLOOKUP(Sheet3!A197,FoodTable[Food],FoodTable[Fats (g)]*B197,"Not Found",,2),"")</f>
        <v/>
      </c>
      <c r="F197" t="str" cm="1">
        <f t="array" ref="F197">IF(Sheet3!A197&lt;&gt;"",_xlfn.XLOOKUP(Sheet3!A197,FoodTable[Food],FoodTable[Proteins (g)]*B197,"Not Found",,2),"")</f>
        <v/>
      </c>
      <c r="G197" t="str" cm="1">
        <f t="array" ref="G197">IF(Sheet3!A197&lt;&gt;"",_xlfn.XLOOKUP(Sheet3!A197,FoodTable[Food],FoodTable[Fibers]*B197,"Not Found",,2),"")</f>
        <v/>
      </c>
      <c r="H197" t="str" cm="1">
        <f t="array" ref="H197">IF(Sheet3!A197&lt;&gt;"",_xlfn.XLOOKUP(Sheet3!A197,FoodTable[Food],FoodTable[Sugars]*B197,"Not Found",,2),"")</f>
        <v/>
      </c>
    </row>
    <row r="198" spans="2:8" x14ac:dyDescent="0.2">
      <c r="B198" t="str">
        <f t="shared" si="3"/>
        <v/>
      </c>
      <c r="C198" s="6" t="str">
        <f>IF(Sheet3!A198&lt;&gt;"",_xlfn.XLOOKUP(Sheet3!A198,FoodTable[Food],FoodTable[Per Unit],"Not Found",,2),"")</f>
        <v/>
      </c>
      <c r="D198" t="str" cm="1">
        <f t="array" ref="D198">IF(Sheet3!A198&lt;&gt;"",_xlfn.XLOOKUP(Sheet3!A198,FoodTable[Food],FoodTable[Calories (kcal)]*Sheet3!B198,"Not Found",,2),"")</f>
        <v/>
      </c>
      <c r="E198" t="str" cm="1">
        <f t="array" ref="E198">IF(Sheet3!A198&lt;&gt;"",_xlfn.XLOOKUP(Sheet3!A198,FoodTable[Food],FoodTable[Fats (g)]*B198,"Not Found",,2),"")</f>
        <v/>
      </c>
      <c r="F198" t="str" cm="1">
        <f t="array" ref="F198">IF(Sheet3!A198&lt;&gt;"",_xlfn.XLOOKUP(Sheet3!A198,FoodTable[Food],FoodTable[Proteins (g)]*B198,"Not Found",,2),"")</f>
        <v/>
      </c>
      <c r="G198" t="str" cm="1">
        <f t="array" ref="G198">IF(Sheet3!A198&lt;&gt;"",_xlfn.XLOOKUP(Sheet3!A198,FoodTable[Food],FoodTable[Fibers]*B198,"Not Found",,2),"")</f>
        <v/>
      </c>
      <c r="H198" t="str" cm="1">
        <f t="array" ref="H198">IF(Sheet3!A198&lt;&gt;"",_xlfn.XLOOKUP(Sheet3!A198,FoodTable[Food],FoodTable[Sugars]*B198,"Not Found",,2),"")</f>
        <v/>
      </c>
    </row>
    <row r="199" spans="2:8" x14ac:dyDescent="0.2">
      <c r="B199" t="str">
        <f t="shared" si="3"/>
        <v/>
      </c>
      <c r="C199" s="6" t="str">
        <f>IF(Sheet3!A199&lt;&gt;"",_xlfn.XLOOKUP(Sheet3!A199,FoodTable[Food],FoodTable[Per Unit],"Not Found",,2),"")</f>
        <v/>
      </c>
      <c r="D199" t="str" cm="1">
        <f t="array" ref="D199">IF(Sheet3!A199&lt;&gt;"",_xlfn.XLOOKUP(Sheet3!A199,FoodTable[Food],FoodTable[Calories (kcal)]*Sheet3!B199,"Not Found",,2),"")</f>
        <v/>
      </c>
      <c r="E199" t="str" cm="1">
        <f t="array" ref="E199">IF(Sheet3!A199&lt;&gt;"",_xlfn.XLOOKUP(Sheet3!A199,FoodTable[Food],FoodTable[Fats (g)]*B199,"Not Found",,2),"")</f>
        <v/>
      </c>
      <c r="F199" t="str" cm="1">
        <f t="array" ref="F199">IF(Sheet3!A199&lt;&gt;"",_xlfn.XLOOKUP(Sheet3!A199,FoodTable[Food],FoodTable[Proteins (g)]*B199,"Not Found",,2),"")</f>
        <v/>
      </c>
      <c r="G199" t="str" cm="1">
        <f t="array" ref="G199">IF(Sheet3!A199&lt;&gt;"",_xlfn.XLOOKUP(Sheet3!A199,FoodTable[Food],FoodTable[Fibers]*B199,"Not Found",,2),"")</f>
        <v/>
      </c>
      <c r="H199" t="str" cm="1">
        <f t="array" ref="H199">IF(Sheet3!A199&lt;&gt;"",_xlfn.XLOOKUP(Sheet3!A199,FoodTable[Food],FoodTable[Sugars]*B199,"Not Found",,2),"")</f>
        <v/>
      </c>
    </row>
    <row r="200" spans="2:8" x14ac:dyDescent="0.2">
      <c r="B200" t="str">
        <f t="shared" si="3"/>
        <v/>
      </c>
      <c r="C200" s="6" t="str">
        <f>IF(Sheet3!A200&lt;&gt;"",_xlfn.XLOOKUP(Sheet3!A200,FoodTable[Food],FoodTable[Per Unit],"Not Found",,2),"")</f>
        <v/>
      </c>
      <c r="D200" t="str" cm="1">
        <f t="array" ref="D200">IF(Sheet3!A200&lt;&gt;"",_xlfn.XLOOKUP(Sheet3!A200,FoodTable[Food],FoodTable[Calories (kcal)]*Sheet3!B200,"Not Found",,2),"")</f>
        <v/>
      </c>
      <c r="E200" t="str" cm="1">
        <f t="array" ref="E200">IF(Sheet3!A200&lt;&gt;"",_xlfn.XLOOKUP(Sheet3!A200,FoodTable[Food],FoodTable[Fats (g)]*B200,"Not Found",,2),"")</f>
        <v/>
      </c>
      <c r="F200" t="str" cm="1">
        <f t="array" ref="F200">IF(Sheet3!A200&lt;&gt;"",_xlfn.XLOOKUP(Sheet3!A200,FoodTable[Food],FoodTable[Proteins (g)]*B200,"Not Found",,2),"")</f>
        <v/>
      </c>
      <c r="G200" t="str" cm="1">
        <f t="array" ref="G200">IF(Sheet3!A200&lt;&gt;"",_xlfn.XLOOKUP(Sheet3!A200,FoodTable[Food],FoodTable[Fibers]*B200,"Not Found",,2),"")</f>
        <v/>
      </c>
      <c r="H200" t="str" cm="1">
        <f t="array" ref="H200">IF(Sheet3!A200&lt;&gt;"",_xlfn.XLOOKUP(Sheet3!A200,FoodTable[Food],FoodTable[Sugars]*B200,"Not Found",,2),"")</f>
        <v/>
      </c>
    </row>
    <row r="201" spans="2:8" x14ac:dyDescent="0.2">
      <c r="B201" t="str">
        <f t="shared" si="3"/>
        <v/>
      </c>
      <c r="C201" s="6" t="str">
        <f>IF(Sheet3!A201&lt;&gt;"",_xlfn.XLOOKUP(Sheet3!A201,FoodTable[Food],FoodTable[Per Unit],"Not Found",,2),"")</f>
        <v/>
      </c>
      <c r="D201" t="str" cm="1">
        <f t="array" ref="D201">IF(Sheet3!A201&lt;&gt;"",_xlfn.XLOOKUP(Sheet3!A201,FoodTable[Food],FoodTable[Calories (kcal)]*Sheet3!B201,"Not Found",,2),"")</f>
        <v/>
      </c>
      <c r="E201" t="str" cm="1">
        <f t="array" ref="E201">IF(Sheet3!A201&lt;&gt;"",_xlfn.XLOOKUP(Sheet3!A201,FoodTable[Food],FoodTable[Fats (g)]*B201,"Not Found",,2),"")</f>
        <v/>
      </c>
      <c r="F201" t="str" cm="1">
        <f t="array" ref="F201">IF(Sheet3!A201&lt;&gt;"",_xlfn.XLOOKUP(Sheet3!A201,FoodTable[Food],FoodTable[Proteins (g)]*B201,"Not Found",,2),"")</f>
        <v/>
      </c>
      <c r="G201" t="str" cm="1">
        <f t="array" ref="G201">IF(Sheet3!A201&lt;&gt;"",_xlfn.XLOOKUP(Sheet3!A201,FoodTable[Food],FoodTable[Fibers]*B201,"Not Found",,2),"")</f>
        <v/>
      </c>
      <c r="H201" t="str" cm="1">
        <f t="array" ref="H201">IF(Sheet3!A201&lt;&gt;"",_xlfn.XLOOKUP(Sheet3!A201,FoodTable[Food],FoodTable[Sugars]*B201,"Not Found",,2),"")</f>
        <v/>
      </c>
    </row>
    <row r="202" spans="2:8" x14ac:dyDescent="0.2">
      <c r="B202" t="str">
        <f t="shared" si="3"/>
        <v/>
      </c>
      <c r="C202" s="6" t="str">
        <f>IF(Sheet3!A202&lt;&gt;"",_xlfn.XLOOKUP(Sheet3!A202,FoodTable[Food],FoodTable[Per Unit],"Not Found",,2),"")</f>
        <v/>
      </c>
      <c r="D202" t="str" cm="1">
        <f t="array" ref="D202">IF(Sheet3!A202&lt;&gt;"",_xlfn.XLOOKUP(Sheet3!A202,FoodTable[Food],FoodTable[Calories (kcal)]*Sheet3!B202,"Not Found",,2),"")</f>
        <v/>
      </c>
      <c r="E202" t="str" cm="1">
        <f t="array" ref="E202">IF(Sheet3!A202&lt;&gt;"",_xlfn.XLOOKUP(Sheet3!A202,FoodTable[Food],FoodTable[Fats (g)]*B202,"Not Found",,2),"")</f>
        <v/>
      </c>
      <c r="F202" t="str" cm="1">
        <f t="array" ref="F202">IF(Sheet3!A202&lt;&gt;"",_xlfn.XLOOKUP(Sheet3!A202,FoodTable[Food],FoodTable[Proteins (g)]*B202,"Not Found",,2),"")</f>
        <v/>
      </c>
      <c r="G202" t="str" cm="1">
        <f t="array" ref="G202">IF(Sheet3!A202&lt;&gt;"",_xlfn.XLOOKUP(Sheet3!A202,FoodTable[Food],FoodTable[Fibers]*B202,"Not Found",,2),"")</f>
        <v/>
      </c>
      <c r="H202" t="str" cm="1">
        <f t="array" ref="H202">IF(Sheet3!A202&lt;&gt;"",_xlfn.XLOOKUP(Sheet3!A202,FoodTable[Food],FoodTable[Sugars]*B202,"Not Found",,2),"")</f>
        <v/>
      </c>
    </row>
    <row r="203" spans="2:8" x14ac:dyDescent="0.2">
      <c r="B203" t="str">
        <f t="shared" si="3"/>
        <v/>
      </c>
      <c r="C203" s="6" t="str">
        <f>IF(Sheet3!A203&lt;&gt;"",_xlfn.XLOOKUP(Sheet3!A203,FoodTable[Food],FoodTable[Per Unit],"Not Found",,2),"")</f>
        <v/>
      </c>
      <c r="D203" t="str" cm="1">
        <f t="array" ref="D203">IF(Sheet3!A203&lt;&gt;"",_xlfn.XLOOKUP(Sheet3!A203,FoodTable[Food],FoodTable[Calories (kcal)]*Sheet3!B203,"Not Found",,2),"")</f>
        <v/>
      </c>
      <c r="E203" t="str" cm="1">
        <f t="array" ref="E203">IF(Sheet3!A203&lt;&gt;"",_xlfn.XLOOKUP(Sheet3!A203,FoodTable[Food],FoodTable[Fats (g)]*B203,"Not Found",,2),"")</f>
        <v/>
      </c>
      <c r="F203" t="str" cm="1">
        <f t="array" ref="F203">IF(Sheet3!A203&lt;&gt;"",_xlfn.XLOOKUP(Sheet3!A203,FoodTable[Food],FoodTable[Proteins (g)]*B203,"Not Found",,2),"")</f>
        <v/>
      </c>
      <c r="G203" t="str" cm="1">
        <f t="array" ref="G203">IF(Sheet3!A203&lt;&gt;"",_xlfn.XLOOKUP(Sheet3!A203,FoodTable[Food],FoodTable[Fibers]*B203,"Not Found",,2),"")</f>
        <v/>
      </c>
      <c r="H203" t="str" cm="1">
        <f t="array" ref="H203">IF(Sheet3!A203&lt;&gt;"",_xlfn.XLOOKUP(Sheet3!A203,FoodTable[Food],FoodTable[Sugars]*B203,"Not Found",,2),"")</f>
        <v/>
      </c>
    </row>
    <row r="204" spans="2:8" x14ac:dyDescent="0.2">
      <c r="B204" t="str">
        <f t="shared" si="3"/>
        <v/>
      </c>
      <c r="C204" s="6" t="str">
        <f>IF(Sheet3!A204&lt;&gt;"",_xlfn.XLOOKUP(Sheet3!A204,FoodTable[Food],FoodTable[Per Unit],"Not Found",,2),"")</f>
        <v/>
      </c>
      <c r="D204" t="str" cm="1">
        <f t="array" ref="D204">IF(Sheet3!A204&lt;&gt;"",_xlfn.XLOOKUP(Sheet3!A204,FoodTable[Food],FoodTable[Calories (kcal)]*Sheet3!B204,"Not Found",,2),"")</f>
        <v/>
      </c>
      <c r="E204" t="str" cm="1">
        <f t="array" ref="E204">IF(Sheet3!A204&lt;&gt;"",_xlfn.XLOOKUP(Sheet3!A204,FoodTable[Food],FoodTable[Fats (g)]*B204,"Not Found",,2),"")</f>
        <v/>
      </c>
      <c r="F204" t="str" cm="1">
        <f t="array" ref="F204">IF(Sheet3!A204&lt;&gt;"",_xlfn.XLOOKUP(Sheet3!A204,FoodTable[Food],FoodTable[Proteins (g)]*B204,"Not Found",,2),"")</f>
        <v/>
      </c>
      <c r="G204" t="str" cm="1">
        <f t="array" ref="G204">IF(Sheet3!A204&lt;&gt;"",_xlfn.XLOOKUP(Sheet3!A204,FoodTable[Food],FoodTable[Fibers]*B204,"Not Found",,2),"")</f>
        <v/>
      </c>
      <c r="H204" t="str" cm="1">
        <f t="array" ref="H204">IF(Sheet3!A204&lt;&gt;"",_xlfn.XLOOKUP(Sheet3!A204,FoodTable[Food],FoodTable[Sugars]*B204,"Not Found",,2),"")</f>
        <v/>
      </c>
    </row>
    <row r="205" spans="2:8" x14ac:dyDescent="0.2">
      <c r="B205" t="str">
        <f t="shared" si="3"/>
        <v/>
      </c>
      <c r="C205" s="6" t="str">
        <f>IF(Sheet3!A205&lt;&gt;"",_xlfn.XLOOKUP(Sheet3!A205,FoodTable[Food],FoodTable[Per Unit],"Not Found",,2),"")</f>
        <v/>
      </c>
      <c r="D205" t="str" cm="1">
        <f t="array" ref="D205">IF(Sheet3!A205&lt;&gt;"",_xlfn.XLOOKUP(Sheet3!A205,FoodTable[Food],FoodTable[Calories (kcal)]*Sheet3!B205,"Not Found",,2),"")</f>
        <v/>
      </c>
      <c r="E205" t="str" cm="1">
        <f t="array" ref="E205">IF(Sheet3!A205&lt;&gt;"",_xlfn.XLOOKUP(Sheet3!A205,FoodTable[Food],FoodTable[Fats (g)]*B205,"Not Found",,2),"")</f>
        <v/>
      </c>
      <c r="F205" t="str" cm="1">
        <f t="array" ref="F205">IF(Sheet3!A205&lt;&gt;"",_xlfn.XLOOKUP(Sheet3!A205,FoodTable[Food],FoodTable[Proteins (g)]*B205,"Not Found",,2),"")</f>
        <v/>
      </c>
      <c r="G205" t="str" cm="1">
        <f t="array" ref="G205">IF(Sheet3!A205&lt;&gt;"",_xlfn.XLOOKUP(Sheet3!A205,FoodTable[Food],FoodTable[Fibers]*B205,"Not Found",,2),"")</f>
        <v/>
      </c>
      <c r="H205" t="str" cm="1">
        <f t="array" ref="H205">IF(Sheet3!A205&lt;&gt;"",_xlfn.XLOOKUP(Sheet3!A205,FoodTable[Food],FoodTable[Sugars]*B205,"Not Found",,2),"")</f>
        <v/>
      </c>
    </row>
    <row r="206" spans="2:8" x14ac:dyDescent="0.2">
      <c r="B206" t="str">
        <f t="shared" si="3"/>
        <v/>
      </c>
      <c r="C206" s="6" t="str">
        <f>IF(Sheet3!A206&lt;&gt;"",_xlfn.XLOOKUP(Sheet3!A206,FoodTable[Food],FoodTable[Per Unit],"Not Found",,2),"")</f>
        <v/>
      </c>
      <c r="D206" t="str" cm="1">
        <f t="array" ref="D206">IF(Sheet3!A206&lt;&gt;"",_xlfn.XLOOKUP(Sheet3!A206,FoodTable[Food],FoodTable[Calories (kcal)]*Sheet3!B206,"Not Found",,2),"")</f>
        <v/>
      </c>
      <c r="E206" t="str" cm="1">
        <f t="array" ref="E206">IF(Sheet3!A206&lt;&gt;"",_xlfn.XLOOKUP(Sheet3!A206,FoodTable[Food],FoodTable[Fats (g)]*B206,"Not Found",,2),"")</f>
        <v/>
      </c>
      <c r="F206" t="str" cm="1">
        <f t="array" ref="F206">IF(Sheet3!A206&lt;&gt;"",_xlfn.XLOOKUP(Sheet3!A206,FoodTable[Food],FoodTable[Proteins (g)]*B206,"Not Found",,2),"")</f>
        <v/>
      </c>
      <c r="G206" t="str" cm="1">
        <f t="array" ref="G206">IF(Sheet3!A206&lt;&gt;"",_xlfn.XLOOKUP(Sheet3!A206,FoodTable[Food],FoodTable[Fibers]*B206,"Not Found",,2),"")</f>
        <v/>
      </c>
      <c r="H206" t="str" cm="1">
        <f t="array" ref="H206">IF(Sheet3!A206&lt;&gt;"",_xlfn.XLOOKUP(Sheet3!A206,FoodTable[Food],FoodTable[Sugars]*B206,"Not Found",,2),"")</f>
        <v/>
      </c>
    </row>
    <row r="207" spans="2:8" x14ac:dyDescent="0.2">
      <c r="B207" t="str">
        <f t="shared" si="3"/>
        <v/>
      </c>
      <c r="C207" s="6" t="str">
        <f>IF(Sheet3!A207&lt;&gt;"",_xlfn.XLOOKUP(Sheet3!A207,FoodTable[Food],FoodTable[Per Unit],"Not Found",,2),"")</f>
        <v/>
      </c>
      <c r="D207" t="str" cm="1">
        <f t="array" ref="D207">IF(Sheet3!A207&lt;&gt;"",_xlfn.XLOOKUP(Sheet3!A207,FoodTable[Food],FoodTable[Calories (kcal)]*Sheet3!B207,"Not Found",,2),"")</f>
        <v/>
      </c>
      <c r="E207" t="str" cm="1">
        <f t="array" ref="E207">IF(Sheet3!A207&lt;&gt;"",_xlfn.XLOOKUP(Sheet3!A207,FoodTable[Food],FoodTable[Fats (g)]*B207,"Not Found",,2),"")</f>
        <v/>
      </c>
      <c r="F207" t="str" cm="1">
        <f t="array" ref="F207">IF(Sheet3!A207&lt;&gt;"",_xlfn.XLOOKUP(Sheet3!A207,FoodTable[Food],FoodTable[Proteins (g)]*B207,"Not Found",,2),"")</f>
        <v/>
      </c>
      <c r="G207" t="str" cm="1">
        <f t="array" ref="G207">IF(Sheet3!A207&lt;&gt;"",_xlfn.XLOOKUP(Sheet3!A207,FoodTable[Food],FoodTable[Fibers]*B207,"Not Found",,2),"")</f>
        <v/>
      </c>
      <c r="H207" t="str" cm="1">
        <f t="array" ref="H207">IF(Sheet3!A207&lt;&gt;"",_xlfn.XLOOKUP(Sheet3!A207,FoodTable[Food],FoodTable[Sugars]*B207,"Not Found",,2),"")</f>
        <v/>
      </c>
    </row>
    <row r="208" spans="2:8" x14ac:dyDescent="0.2">
      <c r="B208" t="str">
        <f t="shared" si="3"/>
        <v/>
      </c>
      <c r="C208" s="6" t="str">
        <f>IF(Sheet3!A208&lt;&gt;"",_xlfn.XLOOKUP(Sheet3!A208,FoodTable[Food],FoodTable[Per Unit],"Not Found",,2),"")</f>
        <v/>
      </c>
      <c r="D208" t="str" cm="1">
        <f t="array" ref="D208">IF(Sheet3!A208&lt;&gt;"",_xlfn.XLOOKUP(Sheet3!A208,FoodTable[Food],FoodTable[Calories (kcal)]*Sheet3!B208,"Not Found",,2),"")</f>
        <v/>
      </c>
      <c r="E208" t="str" cm="1">
        <f t="array" ref="E208">IF(Sheet3!A208&lt;&gt;"",_xlfn.XLOOKUP(Sheet3!A208,FoodTable[Food],FoodTable[Fats (g)]*B208,"Not Found",,2),"")</f>
        <v/>
      </c>
      <c r="F208" t="str" cm="1">
        <f t="array" ref="F208">IF(Sheet3!A208&lt;&gt;"",_xlfn.XLOOKUP(Sheet3!A208,FoodTable[Food],FoodTable[Proteins (g)]*B208,"Not Found",,2),"")</f>
        <v/>
      </c>
      <c r="G208" t="str" cm="1">
        <f t="array" ref="G208">IF(Sheet3!A208&lt;&gt;"",_xlfn.XLOOKUP(Sheet3!A208,FoodTable[Food],FoodTable[Fibers]*B208,"Not Found",,2),"")</f>
        <v/>
      </c>
      <c r="H208" t="str" cm="1">
        <f t="array" ref="H208">IF(Sheet3!A208&lt;&gt;"",_xlfn.XLOOKUP(Sheet3!A208,FoodTable[Food],FoodTable[Sugars]*B208,"Not Found",,2),"")</f>
        <v/>
      </c>
    </row>
    <row r="209" spans="2:8" x14ac:dyDescent="0.2">
      <c r="B209" t="str">
        <f t="shared" si="3"/>
        <v/>
      </c>
      <c r="C209" s="6" t="str">
        <f>IF(Sheet3!A209&lt;&gt;"",_xlfn.XLOOKUP(Sheet3!A209,FoodTable[Food],FoodTable[Per Unit],"Not Found",,2),"")</f>
        <v/>
      </c>
      <c r="D209" t="str" cm="1">
        <f t="array" ref="D209">IF(Sheet3!A209&lt;&gt;"",_xlfn.XLOOKUP(Sheet3!A209,FoodTable[Food],FoodTable[Calories (kcal)]*Sheet3!B209,"Not Found",,2),"")</f>
        <v/>
      </c>
      <c r="E209" t="str" cm="1">
        <f t="array" ref="E209">IF(Sheet3!A209&lt;&gt;"",_xlfn.XLOOKUP(Sheet3!A209,FoodTable[Food],FoodTable[Fats (g)]*B209,"Not Found",,2),"")</f>
        <v/>
      </c>
      <c r="F209" t="str" cm="1">
        <f t="array" ref="F209">IF(Sheet3!A209&lt;&gt;"",_xlfn.XLOOKUP(Sheet3!A209,FoodTable[Food],FoodTable[Proteins (g)]*B209,"Not Found",,2),"")</f>
        <v/>
      </c>
      <c r="G209" t="str" cm="1">
        <f t="array" ref="G209">IF(Sheet3!A209&lt;&gt;"",_xlfn.XLOOKUP(Sheet3!A209,FoodTable[Food],FoodTable[Fibers]*B209,"Not Found",,2),"")</f>
        <v/>
      </c>
      <c r="H209" t="str" cm="1">
        <f t="array" ref="H209">IF(Sheet3!A209&lt;&gt;"",_xlfn.XLOOKUP(Sheet3!A209,FoodTable[Food],FoodTable[Sugars]*B209,"Not Found",,2),"")</f>
        <v/>
      </c>
    </row>
    <row r="210" spans="2:8" x14ac:dyDescent="0.2">
      <c r="B210" t="str">
        <f t="shared" si="3"/>
        <v/>
      </c>
      <c r="C210" s="6" t="str">
        <f>IF(Sheet3!A210&lt;&gt;"",_xlfn.XLOOKUP(Sheet3!A210,FoodTable[Food],FoodTable[Per Unit],"Not Found",,2),"")</f>
        <v/>
      </c>
      <c r="D210" t="str" cm="1">
        <f t="array" ref="D210">IF(Sheet3!A210&lt;&gt;"",_xlfn.XLOOKUP(Sheet3!A210,FoodTable[Food],FoodTable[Calories (kcal)]*Sheet3!B210,"Not Found",,2),"")</f>
        <v/>
      </c>
      <c r="E210" t="str" cm="1">
        <f t="array" ref="E210">IF(Sheet3!A210&lt;&gt;"",_xlfn.XLOOKUP(Sheet3!A210,FoodTable[Food],FoodTable[Fats (g)]*B210,"Not Found",,2),"")</f>
        <v/>
      </c>
      <c r="F210" t="str" cm="1">
        <f t="array" ref="F210">IF(Sheet3!A210&lt;&gt;"",_xlfn.XLOOKUP(Sheet3!A210,FoodTable[Food],FoodTable[Proteins (g)]*B210,"Not Found",,2),"")</f>
        <v/>
      </c>
      <c r="G210" t="str" cm="1">
        <f t="array" ref="G210">IF(Sheet3!A210&lt;&gt;"",_xlfn.XLOOKUP(Sheet3!A210,FoodTable[Food],FoodTable[Fibers]*B210,"Not Found",,2),"")</f>
        <v/>
      </c>
      <c r="H210" t="str" cm="1">
        <f t="array" ref="H210">IF(Sheet3!A210&lt;&gt;"",_xlfn.XLOOKUP(Sheet3!A210,FoodTable[Food],FoodTable[Sugars]*B210,"Not Found",,2),"")</f>
        <v/>
      </c>
    </row>
    <row r="211" spans="2:8" x14ac:dyDescent="0.2">
      <c r="B211" t="str">
        <f t="shared" si="3"/>
        <v/>
      </c>
      <c r="C211" s="6" t="str">
        <f>IF(Sheet3!A211&lt;&gt;"",_xlfn.XLOOKUP(Sheet3!A211,FoodTable[Food],FoodTable[Per Unit],"Not Found",,2),"")</f>
        <v/>
      </c>
      <c r="D211" t="str" cm="1">
        <f t="array" ref="D211">IF(Sheet3!A211&lt;&gt;"",_xlfn.XLOOKUP(Sheet3!A211,FoodTable[Food],FoodTable[Calories (kcal)]*Sheet3!B211,"Not Found",,2),"")</f>
        <v/>
      </c>
      <c r="E211" t="str" cm="1">
        <f t="array" ref="E211">IF(Sheet3!A211&lt;&gt;"",_xlfn.XLOOKUP(Sheet3!A211,FoodTable[Food],FoodTable[Fats (g)]*B211,"Not Found",,2),"")</f>
        <v/>
      </c>
      <c r="F211" t="str" cm="1">
        <f t="array" ref="F211">IF(Sheet3!A211&lt;&gt;"",_xlfn.XLOOKUP(Sheet3!A211,FoodTable[Food],FoodTable[Proteins (g)]*B211,"Not Found",,2),"")</f>
        <v/>
      </c>
      <c r="G211" t="str" cm="1">
        <f t="array" ref="G211">IF(Sheet3!A211&lt;&gt;"",_xlfn.XLOOKUP(Sheet3!A211,FoodTable[Food],FoodTable[Fibers]*B211,"Not Found",,2),"")</f>
        <v/>
      </c>
      <c r="H211" t="str" cm="1">
        <f t="array" ref="H211">IF(Sheet3!A211&lt;&gt;"",_xlfn.XLOOKUP(Sheet3!A211,FoodTable[Food],FoodTable[Sugars]*B211,"Not Found",,2),"")</f>
        <v/>
      </c>
    </row>
    <row r="212" spans="2:8" x14ac:dyDescent="0.2">
      <c r="B212" t="str">
        <f t="shared" si="3"/>
        <v/>
      </c>
      <c r="C212" s="6" t="str">
        <f>IF(Sheet3!A212&lt;&gt;"",_xlfn.XLOOKUP(Sheet3!A212,FoodTable[Food],FoodTable[Per Unit],"Not Found",,2),"")</f>
        <v/>
      </c>
      <c r="D212" t="str" cm="1">
        <f t="array" ref="D212">IF(Sheet3!A212&lt;&gt;"",_xlfn.XLOOKUP(Sheet3!A212,FoodTable[Food],FoodTable[Calories (kcal)]*Sheet3!B212,"Not Found",,2),"")</f>
        <v/>
      </c>
      <c r="E212" t="str" cm="1">
        <f t="array" ref="E212">IF(Sheet3!A212&lt;&gt;"",_xlfn.XLOOKUP(Sheet3!A212,FoodTable[Food],FoodTable[Fats (g)]*B212,"Not Found",,2),"")</f>
        <v/>
      </c>
      <c r="F212" t="str" cm="1">
        <f t="array" ref="F212">IF(Sheet3!A212&lt;&gt;"",_xlfn.XLOOKUP(Sheet3!A212,FoodTable[Food],FoodTable[Proteins (g)]*B212,"Not Found",,2),"")</f>
        <v/>
      </c>
      <c r="G212" t="str" cm="1">
        <f t="array" ref="G212">IF(Sheet3!A212&lt;&gt;"",_xlfn.XLOOKUP(Sheet3!A212,FoodTable[Food],FoodTable[Fibers]*B212,"Not Found",,2),"")</f>
        <v/>
      </c>
      <c r="H212" t="str" cm="1">
        <f t="array" ref="H212">IF(Sheet3!A212&lt;&gt;"",_xlfn.XLOOKUP(Sheet3!A212,FoodTable[Food],FoodTable[Sugars]*B212,"Not Found",,2),"")</f>
        <v/>
      </c>
    </row>
    <row r="213" spans="2:8" x14ac:dyDescent="0.2">
      <c r="B213" t="str">
        <f t="shared" si="3"/>
        <v/>
      </c>
      <c r="C213" s="6" t="str">
        <f>IF(Sheet3!A213&lt;&gt;"",_xlfn.XLOOKUP(Sheet3!A213,FoodTable[Food],FoodTable[Per Unit],"Not Found",,2),"")</f>
        <v/>
      </c>
      <c r="D213" t="str" cm="1">
        <f t="array" ref="D213">IF(Sheet3!A213&lt;&gt;"",_xlfn.XLOOKUP(Sheet3!A213,FoodTable[Food],FoodTable[Calories (kcal)]*Sheet3!B213,"Not Found",,2),"")</f>
        <v/>
      </c>
      <c r="E213" t="str" cm="1">
        <f t="array" ref="E213">IF(Sheet3!A213&lt;&gt;"",_xlfn.XLOOKUP(Sheet3!A213,FoodTable[Food],FoodTable[Fats (g)]*B213,"Not Found",,2),"")</f>
        <v/>
      </c>
      <c r="F213" t="str" cm="1">
        <f t="array" ref="F213">IF(Sheet3!A213&lt;&gt;"",_xlfn.XLOOKUP(Sheet3!A213,FoodTable[Food],FoodTable[Proteins (g)]*B213,"Not Found",,2),"")</f>
        <v/>
      </c>
      <c r="G213" t="str" cm="1">
        <f t="array" ref="G213">IF(Sheet3!A213&lt;&gt;"",_xlfn.XLOOKUP(Sheet3!A213,FoodTable[Food],FoodTable[Fibers]*B213,"Not Found",,2),"")</f>
        <v/>
      </c>
      <c r="H213" t="str" cm="1">
        <f t="array" ref="H213">IF(Sheet3!A213&lt;&gt;"",_xlfn.XLOOKUP(Sheet3!A213,FoodTable[Food],FoodTable[Sugars]*B213,"Not Found",,2),"")</f>
        <v/>
      </c>
    </row>
    <row r="214" spans="2:8" x14ac:dyDescent="0.2">
      <c r="B214" t="str">
        <f t="shared" si="3"/>
        <v/>
      </c>
      <c r="C214" s="6" t="str">
        <f>IF(Sheet3!A214&lt;&gt;"",_xlfn.XLOOKUP(Sheet3!A214,FoodTable[Food],FoodTable[Per Unit],"Not Found",,2),"")</f>
        <v/>
      </c>
      <c r="D214" t="str" cm="1">
        <f t="array" ref="D214">IF(Sheet3!A214&lt;&gt;"",_xlfn.XLOOKUP(Sheet3!A214,FoodTable[Food],FoodTable[Calories (kcal)]*Sheet3!B214,"Not Found",,2),"")</f>
        <v/>
      </c>
      <c r="E214" t="str" cm="1">
        <f t="array" ref="E214">IF(Sheet3!A214&lt;&gt;"",_xlfn.XLOOKUP(Sheet3!A214,FoodTable[Food],FoodTable[Fats (g)]*B214,"Not Found",,2),"")</f>
        <v/>
      </c>
      <c r="F214" t="str" cm="1">
        <f t="array" ref="F214">IF(Sheet3!A214&lt;&gt;"",_xlfn.XLOOKUP(Sheet3!A214,FoodTable[Food],FoodTable[Proteins (g)]*B214,"Not Found",,2),"")</f>
        <v/>
      </c>
      <c r="G214" t="str" cm="1">
        <f t="array" ref="G214">IF(Sheet3!A214&lt;&gt;"",_xlfn.XLOOKUP(Sheet3!A214,FoodTable[Food],FoodTable[Fibers]*B214,"Not Found",,2),"")</f>
        <v/>
      </c>
      <c r="H214" t="str" cm="1">
        <f t="array" ref="H214">IF(Sheet3!A214&lt;&gt;"",_xlfn.XLOOKUP(Sheet3!A214,FoodTable[Food],FoodTable[Sugars]*B214,"Not Found",,2),"")</f>
        <v/>
      </c>
    </row>
    <row r="215" spans="2:8" x14ac:dyDescent="0.2">
      <c r="B215" t="str">
        <f t="shared" si="3"/>
        <v/>
      </c>
      <c r="C215" s="6" t="str">
        <f>IF(Sheet3!A215&lt;&gt;"",_xlfn.XLOOKUP(Sheet3!A215,FoodTable[Food],FoodTable[Per Unit],"Not Found",,2),"")</f>
        <v/>
      </c>
      <c r="D215" t="str" cm="1">
        <f t="array" ref="D215">IF(Sheet3!A215&lt;&gt;"",_xlfn.XLOOKUP(Sheet3!A215,FoodTable[Food],FoodTable[Calories (kcal)]*Sheet3!B215,"Not Found",,2),"")</f>
        <v/>
      </c>
      <c r="E215" t="str" cm="1">
        <f t="array" ref="E215">IF(Sheet3!A215&lt;&gt;"",_xlfn.XLOOKUP(Sheet3!A215,FoodTable[Food],FoodTable[Fats (g)]*B215,"Not Found",,2),"")</f>
        <v/>
      </c>
      <c r="F215" t="str" cm="1">
        <f t="array" ref="F215">IF(Sheet3!A215&lt;&gt;"",_xlfn.XLOOKUP(Sheet3!A215,FoodTable[Food],FoodTable[Proteins (g)]*B215,"Not Found",,2),"")</f>
        <v/>
      </c>
      <c r="G215" t="str" cm="1">
        <f t="array" ref="G215">IF(Sheet3!A215&lt;&gt;"",_xlfn.XLOOKUP(Sheet3!A215,FoodTable[Food],FoodTable[Fibers]*B215,"Not Found",,2),"")</f>
        <v/>
      </c>
      <c r="H215" t="str" cm="1">
        <f t="array" ref="H215">IF(Sheet3!A215&lt;&gt;"",_xlfn.XLOOKUP(Sheet3!A215,FoodTable[Food],FoodTable[Sugars]*B215,"Not Found",,2),"")</f>
        <v/>
      </c>
    </row>
    <row r="216" spans="2:8" x14ac:dyDescent="0.2">
      <c r="B216" t="str">
        <f t="shared" si="3"/>
        <v/>
      </c>
      <c r="C216" s="6" t="str">
        <f>IF(Sheet3!A216&lt;&gt;"",_xlfn.XLOOKUP(Sheet3!A216,FoodTable[Food],FoodTable[Per Unit],"Not Found",,2),"")</f>
        <v/>
      </c>
      <c r="D216" t="str" cm="1">
        <f t="array" ref="D216">IF(Sheet3!A216&lt;&gt;"",_xlfn.XLOOKUP(Sheet3!A216,FoodTable[Food],FoodTable[Calories (kcal)]*Sheet3!B216,"Not Found",,2),"")</f>
        <v/>
      </c>
      <c r="E216" t="str" cm="1">
        <f t="array" ref="E216">IF(Sheet3!A216&lt;&gt;"",_xlfn.XLOOKUP(Sheet3!A216,FoodTable[Food],FoodTable[Fats (g)]*B216,"Not Found",,2),"")</f>
        <v/>
      </c>
      <c r="F216" t="str" cm="1">
        <f t="array" ref="F216">IF(Sheet3!A216&lt;&gt;"",_xlfn.XLOOKUP(Sheet3!A216,FoodTable[Food],FoodTable[Proteins (g)]*B216,"Not Found",,2),"")</f>
        <v/>
      </c>
      <c r="G216" t="str" cm="1">
        <f t="array" ref="G216">IF(Sheet3!A216&lt;&gt;"",_xlfn.XLOOKUP(Sheet3!A216,FoodTable[Food],FoodTable[Fibers]*B216,"Not Found",,2),"")</f>
        <v/>
      </c>
      <c r="H216" t="str" cm="1">
        <f t="array" ref="H216">IF(Sheet3!A216&lt;&gt;"",_xlfn.XLOOKUP(Sheet3!A216,FoodTable[Food],FoodTable[Sugars]*B216,"Not Found",,2),"")</f>
        <v/>
      </c>
    </row>
    <row r="217" spans="2:8" x14ac:dyDescent="0.2">
      <c r="B217" t="str">
        <f t="shared" si="3"/>
        <v/>
      </c>
      <c r="C217" s="6" t="str">
        <f>IF(Sheet3!A217&lt;&gt;"",_xlfn.XLOOKUP(Sheet3!A217,FoodTable[Food],FoodTable[Per Unit],"Not Found",,2),"")</f>
        <v/>
      </c>
      <c r="D217" t="str" cm="1">
        <f t="array" ref="D217">IF(Sheet3!A217&lt;&gt;"",_xlfn.XLOOKUP(Sheet3!A217,FoodTable[Food],FoodTable[Calories (kcal)]*Sheet3!B217,"Not Found",,2),"")</f>
        <v/>
      </c>
      <c r="E217" t="str" cm="1">
        <f t="array" ref="E217">IF(Sheet3!A217&lt;&gt;"",_xlfn.XLOOKUP(Sheet3!A217,FoodTable[Food],FoodTable[Fats (g)]*B217,"Not Found",,2),"")</f>
        <v/>
      </c>
      <c r="F217" t="str" cm="1">
        <f t="array" ref="F217">IF(Sheet3!A217&lt;&gt;"",_xlfn.XLOOKUP(Sheet3!A217,FoodTable[Food],FoodTable[Proteins (g)]*B217,"Not Found",,2),"")</f>
        <v/>
      </c>
      <c r="G217" t="str" cm="1">
        <f t="array" ref="G217">IF(Sheet3!A217&lt;&gt;"",_xlfn.XLOOKUP(Sheet3!A217,FoodTable[Food],FoodTable[Fibers]*B217,"Not Found",,2),"")</f>
        <v/>
      </c>
      <c r="H217" t="str" cm="1">
        <f t="array" ref="H217">IF(Sheet3!A217&lt;&gt;"",_xlfn.XLOOKUP(Sheet3!A217,FoodTable[Food],FoodTable[Sugars]*B217,"Not Found",,2),"")</f>
        <v/>
      </c>
    </row>
    <row r="218" spans="2:8" x14ac:dyDescent="0.2">
      <c r="B218" t="str">
        <f t="shared" si="3"/>
        <v/>
      </c>
      <c r="C218" s="6" t="str">
        <f>IF(Sheet3!A218&lt;&gt;"",_xlfn.XLOOKUP(Sheet3!A218,FoodTable[Food],FoodTable[Per Unit],"Not Found",,2),"")</f>
        <v/>
      </c>
      <c r="D218" t="str" cm="1">
        <f t="array" ref="D218">IF(Sheet3!A218&lt;&gt;"",_xlfn.XLOOKUP(Sheet3!A218,FoodTable[Food],FoodTable[Calories (kcal)]*Sheet3!B218,"Not Found",,2),"")</f>
        <v/>
      </c>
      <c r="E218" t="str" cm="1">
        <f t="array" ref="E218">IF(Sheet3!A218&lt;&gt;"",_xlfn.XLOOKUP(Sheet3!A218,FoodTable[Food],FoodTable[Fats (g)]*B218,"Not Found",,2),"")</f>
        <v/>
      </c>
      <c r="F218" t="str" cm="1">
        <f t="array" ref="F218">IF(Sheet3!A218&lt;&gt;"",_xlfn.XLOOKUP(Sheet3!A218,FoodTable[Food],FoodTable[Proteins (g)]*B218,"Not Found",,2),"")</f>
        <v/>
      </c>
      <c r="G218" t="str" cm="1">
        <f t="array" ref="G218">IF(Sheet3!A218&lt;&gt;"",_xlfn.XLOOKUP(Sheet3!A218,FoodTable[Food],FoodTable[Fibers]*B218,"Not Found",,2),"")</f>
        <v/>
      </c>
      <c r="H218" t="str" cm="1">
        <f t="array" ref="H218">IF(Sheet3!A218&lt;&gt;"",_xlfn.XLOOKUP(Sheet3!A218,FoodTable[Food],FoodTable[Sugars]*B218,"Not Found",,2),"")</f>
        <v/>
      </c>
    </row>
    <row r="219" spans="2:8" x14ac:dyDescent="0.2">
      <c r="B219" t="str">
        <f t="shared" si="3"/>
        <v/>
      </c>
      <c r="C219" s="6" t="str">
        <f>IF(Sheet3!A219&lt;&gt;"",_xlfn.XLOOKUP(Sheet3!A219,FoodTable[Food],FoodTable[Per Unit],"Not Found",,2),"")</f>
        <v/>
      </c>
      <c r="D219" t="str" cm="1">
        <f t="array" ref="D219">IF(Sheet3!A219&lt;&gt;"",_xlfn.XLOOKUP(Sheet3!A219,FoodTable[Food],FoodTable[Calories (kcal)]*Sheet3!B219,"Not Found",,2),"")</f>
        <v/>
      </c>
      <c r="E219" t="str" cm="1">
        <f t="array" ref="E219">IF(Sheet3!A219&lt;&gt;"",_xlfn.XLOOKUP(Sheet3!A219,FoodTable[Food],FoodTable[Fats (g)]*B219,"Not Found",,2),"")</f>
        <v/>
      </c>
      <c r="F219" t="str" cm="1">
        <f t="array" ref="F219">IF(Sheet3!A219&lt;&gt;"",_xlfn.XLOOKUP(Sheet3!A219,FoodTable[Food],FoodTable[Proteins (g)]*B219,"Not Found",,2),"")</f>
        <v/>
      </c>
      <c r="G219" t="str" cm="1">
        <f t="array" ref="G219">IF(Sheet3!A219&lt;&gt;"",_xlfn.XLOOKUP(Sheet3!A219,FoodTable[Food],FoodTable[Fibers]*B219,"Not Found",,2),"")</f>
        <v/>
      </c>
      <c r="H219" t="str" cm="1">
        <f t="array" ref="H219">IF(Sheet3!A219&lt;&gt;"",_xlfn.XLOOKUP(Sheet3!A219,FoodTable[Food],FoodTable[Sugars]*B219,"Not Found",,2),"")</f>
        <v/>
      </c>
    </row>
    <row r="220" spans="2:8" x14ac:dyDescent="0.2">
      <c r="B220" t="str">
        <f t="shared" si="3"/>
        <v/>
      </c>
      <c r="C220" s="6" t="str">
        <f>IF(Sheet3!A220&lt;&gt;"",_xlfn.XLOOKUP(Sheet3!A220,FoodTable[Food],FoodTable[Per Unit],"Not Found",,2),"")</f>
        <v/>
      </c>
      <c r="D220" t="str" cm="1">
        <f t="array" ref="D220">IF(Sheet3!A220&lt;&gt;"",_xlfn.XLOOKUP(Sheet3!A220,FoodTable[Food],FoodTable[Calories (kcal)]*Sheet3!B220,"Not Found",,2),"")</f>
        <v/>
      </c>
      <c r="E220" t="str" cm="1">
        <f t="array" ref="E220">IF(Sheet3!A220&lt;&gt;"",_xlfn.XLOOKUP(Sheet3!A220,FoodTable[Food],FoodTable[Fats (g)]*B220,"Not Found",,2),"")</f>
        <v/>
      </c>
      <c r="F220" t="str" cm="1">
        <f t="array" ref="F220">IF(Sheet3!A220&lt;&gt;"",_xlfn.XLOOKUP(Sheet3!A220,FoodTable[Food],FoodTable[Proteins (g)]*B220,"Not Found",,2),"")</f>
        <v/>
      </c>
      <c r="G220" t="str" cm="1">
        <f t="array" ref="G220">IF(Sheet3!A220&lt;&gt;"",_xlfn.XLOOKUP(Sheet3!A220,FoodTable[Food],FoodTable[Fibers]*B220,"Not Found",,2),"")</f>
        <v/>
      </c>
      <c r="H220" t="str" cm="1">
        <f t="array" ref="H220">IF(Sheet3!A220&lt;&gt;"",_xlfn.XLOOKUP(Sheet3!A220,FoodTable[Food],FoodTable[Sugars]*B220,"Not Found",,2),"")</f>
        <v/>
      </c>
    </row>
    <row r="221" spans="2:8" x14ac:dyDescent="0.2">
      <c r="B221" t="str">
        <f t="shared" si="3"/>
        <v/>
      </c>
      <c r="C221" s="6" t="str">
        <f>IF(Sheet3!A221&lt;&gt;"",_xlfn.XLOOKUP(Sheet3!A221,FoodTable[Food],FoodTable[Per Unit],"Not Found",,2),"")</f>
        <v/>
      </c>
      <c r="D221" t="str" cm="1">
        <f t="array" ref="D221">IF(Sheet3!A221&lt;&gt;"",_xlfn.XLOOKUP(Sheet3!A221,FoodTable[Food],FoodTable[Calories (kcal)]*Sheet3!B221,"Not Found",,2),"")</f>
        <v/>
      </c>
      <c r="E221" t="str" cm="1">
        <f t="array" ref="E221">IF(Sheet3!A221&lt;&gt;"",_xlfn.XLOOKUP(Sheet3!A221,FoodTable[Food],FoodTable[Fats (g)]*B221,"Not Found",,2),"")</f>
        <v/>
      </c>
      <c r="F221" t="str" cm="1">
        <f t="array" ref="F221">IF(Sheet3!A221&lt;&gt;"",_xlfn.XLOOKUP(Sheet3!A221,FoodTable[Food],FoodTable[Proteins (g)]*B221,"Not Found",,2),"")</f>
        <v/>
      </c>
      <c r="G221" t="str" cm="1">
        <f t="array" ref="G221">IF(Sheet3!A221&lt;&gt;"",_xlfn.XLOOKUP(Sheet3!A221,FoodTable[Food],FoodTable[Fibers]*B221,"Not Found",,2),"")</f>
        <v/>
      </c>
      <c r="H221" t="str" cm="1">
        <f t="array" ref="H221">IF(Sheet3!A221&lt;&gt;"",_xlfn.XLOOKUP(Sheet3!A221,FoodTable[Food],FoodTable[Sugars]*B221,"Not Found",,2),"")</f>
        <v/>
      </c>
    </row>
    <row r="222" spans="2:8" x14ac:dyDescent="0.2">
      <c r="B222" t="str">
        <f t="shared" si="3"/>
        <v/>
      </c>
      <c r="C222" s="6" t="str">
        <f>IF(Sheet3!A222&lt;&gt;"",_xlfn.XLOOKUP(Sheet3!A222,FoodTable[Food],FoodTable[Per Unit],"Not Found",,2),"")</f>
        <v/>
      </c>
      <c r="D222" t="str" cm="1">
        <f t="array" ref="D222">IF(Sheet3!A222&lt;&gt;"",_xlfn.XLOOKUP(Sheet3!A222,FoodTable[Food],FoodTable[Calories (kcal)]*Sheet3!B222,"Not Found",,2),"")</f>
        <v/>
      </c>
      <c r="E222" t="str" cm="1">
        <f t="array" ref="E222">IF(Sheet3!A222&lt;&gt;"",_xlfn.XLOOKUP(Sheet3!A222,FoodTable[Food],FoodTable[Fats (g)]*B222,"Not Found",,2),"")</f>
        <v/>
      </c>
      <c r="F222" t="str" cm="1">
        <f t="array" ref="F222">IF(Sheet3!A222&lt;&gt;"",_xlfn.XLOOKUP(Sheet3!A222,FoodTable[Food],FoodTable[Proteins (g)]*B222,"Not Found",,2),"")</f>
        <v/>
      </c>
      <c r="G222" t="str" cm="1">
        <f t="array" ref="G222">IF(Sheet3!A222&lt;&gt;"",_xlfn.XLOOKUP(Sheet3!A222,FoodTable[Food],FoodTable[Fibers]*B222,"Not Found",,2),"")</f>
        <v/>
      </c>
      <c r="H222" t="str" cm="1">
        <f t="array" ref="H222">IF(Sheet3!A222&lt;&gt;"",_xlfn.XLOOKUP(Sheet3!A222,FoodTable[Food],FoodTable[Sugars]*B222,"Not Found",,2),"")</f>
        <v/>
      </c>
    </row>
    <row r="223" spans="2:8" x14ac:dyDescent="0.2">
      <c r="B223" t="str">
        <f t="shared" si="3"/>
        <v/>
      </c>
      <c r="C223" s="6" t="str">
        <f>IF(Sheet3!A223&lt;&gt;"",_xlfn.XLOOKUP(Sheet3!A223,FoodTable[Food],FoodTable[Per Unit],"Not Found",,2),"")</f>
        <v/>
      </c>
      <c r="D223" t="str" cm="1">
        <f t="array" ref="D223">IF(Sheet3!A223&lt;&gt;"",_xlfn.XLOOKUP(Sheet3!A223,FoodTable[Food],FoodTable[Calories (kcal)]*Sheet3!B223,"Not Found",,2),"")</f>
        <v/>
      </c>
      <c r="E223" t="str" cm="1">
        <f t="array" ref="E223">IF(Sheet3!A223&lt;&gt;"",_xlfn.XLOOKUP(Sheet3!A223,FoodTable[Food],FoodTable[Fats (g)]*B223,"Not Found",,2),"")</f>
        <v/>
      </c>
      <c r="F223" t="str" cm="1">
        <f t="array" ref="F223">IF(Sheet3!A223&lt;&gt;"",_xlfn.XLOOKUP(Sheet3!A223,FoodTable[Food],FoodTable[Proteins (g)]*B223,"Not Found",,2),"")</f>
        <v/>
      </c>
      <c r="G223" t="str" cm="1">
        <f t="array" ref="G223">IF(Sheet3!A223&lt;&gt;"",_xlfn.XLOOKUP(Sheet3!A223,FoodTable[Food],FoodTable[Fibers]*B223,"Not Found",,2),"")</f>
        <v/>
      </c>
      <c r="H223" t="str" cm="1">
        <f t="array" ref="H223">IF(Sheet3!A223&lt;&gt;"",_xlfn.XLOOKUP(Sheet3!A223,FoodTable[Food],FoodTable[Sugars]*B223,"Not Found",,2),"")</f>
        <v/>
      </c>
    </row>
    <row r="224" spans="2:8" x14ac:dyDescent="0.2">
      <c r="B224" t="str">
        <f t="shared" si="3"/>
        <v/>
      </c>
      <c r="C224" s="6" t="str">
        <f>IF(Sheet3!A224&lt;&gt;"",_xlfn.XLOOKUP(Sheet3!A224,FoodTable[Food],FoodTable[Per Unit],"Not Found",,2),"")</f>
        <v/>
      </c>
      <c r="D224" t="str" cm="1">
        <f t="array" ref="D224">IF(Sheet3!A224&lt;&gt;"",_xlfn.XLOOKUP(Sheet3!A224,FoodTable[Food],FoodTable[Calories (kcal)]*Sheet3!B224,"Not Found",,2),"")</f>
        <v/>
      </c>
      <c r="E224" t="str" cm="1">
        <f t="array" ref="E224">IF(Sheet3!A224&lt;&gt;"",_xlfn.XLOOKUP(Sheet3!A224,FoodTable[Food],FoodTable[Fats (g)]*B224,"Not Found",,2),"")</f>
        <v/>
      </c>
      <c r="F224" t="str" cm="1">
        <f t="array" ref="F224">IF(Sheet3!A224&lt;&gt;"",_xlfn.XLOOKUP(Sheet3!A224,FoodTable[Food],FoodTable[Proteins (g)]*B224,"Not Found",,2),"")</f>
        <v/>
      </c>
      <c r="G224" t="str" cm="1">
        <f t="array" ref="G224">IF(Sheet3!A224&lt;&gt;"",_xlfn.XLOOKUP(Sheet3!A224,FoodTable[Food],FoodTable[Fibers]*B224,"Not Found",,2),"")</f>
        <v/>
      </c>
      <c r="H224" t="str" cm="1">
        <f t="array" ref="H224">IF(Sheet3!A224&lt;&gt;"",_xlfn.XLOOKUP(Sheet3!A224,FoodTable[Food],FoodTable[Sugars]*B224,"Not Found",,2),"")</f>
        <v/>
      </c>
    </row>
    <row r="225" spans="2:8" x14ac:dyDescent="0.2">
      <c r="B225" t="str">
        <f t="shared" si="3"/>
        <v/>
      </c>
      <c r="C225" s="6" t="str">
        <f>IF(Sheet3!A225&lt;&gt;"",_xlfn.XLOOKUP(Sheet3!A225,FoodTable[Food],FoodTable[Per Unit],"Not Found",,2),"")</f>
        <v/>
      </c>
      <c r="D225" t="str" cm="1">
        <f t="array" ref="D225">IF(Sheet3!A225&lt;&gt;"",_xlfn.XLOOKUP(Sheet3!A225,FoodTable[Food],FoodTable[Calories (kcal)]*Sheet3!B225,"Not Found",,2),"")</f>
        <v/>
      </c>
      <c r="E225" t="str" cm="1">
        <f t="array" ref="E225">IF(Sheet3!A225&lt;&gt;"",_xlfn.XLOOKUP(Sheet3!A225,FoodTable[Food],FoodTable[Fats (g)]*B225,"Not Found",,2),"")</f>
        <v/>
      </c>
      <c r="F225" t="str" cm="1">
        <f t="array" ref="F225">IF(Sheet3!A225&lt;&gt;"",_xlfn.XLOOKUP(Sheet3!A225,FoodTable[Food],FoodTable[Proteins (g)]*B225,"Not Found",,2),"")</f>
        <v/>
      </c>
      <c r="G225" t="str" cm="1">
        <f t="array" ref="G225">IF(Sheet3!A225&lt;&gt;"",_xlfn.XLOOKUP(Sheet3!A225,FoodTable[Food],FoodTable[Fibers]*B225,"Not Found",,2),"")</f>
        <v/>
      </c>
      <c r="H225" t="str" cm="1">
        <f t="array" ref="H225">IF(Sheet3!A225&lt;&gt;"",_xlfn.XLOOKUP(Sheet3!A225,FoodTable[Food],FoodTable[Sugars]*B225,"Not Found",,2),"")</f>
        <v/>
      </c>
    </row>
    <row r="226" spans="2:8" x14ac:dyDescent="0.2">
      <c r="B226" t="str">
        <f t="shared" si="3"/>
        <v/>
      </c>
      <c r="C226" s="6" t="str">
        <f>IF(Sheet3!A226&lt;&gt;"",_xlfn.XLOOKUP(Sheet3!A226,FoodTable[Food],FoodTable[Per Unit],"Not Found",,2),"")</f>
        <v/>
      </c>
      <c r="D226" t="str" cm="1">
        <f t="array" ref="D226">IF(Sheet3!A226&lt;&gt;"",_xlfn.XLOOKUP(Sheet3!A226,FoodTable[Food],FoodTable[Calories (kcal)]*Sheet3!B226,"Not Found",,2),"")</f>
        <v/>
      </c>
      <c r="E226" t="str" cm="1">
        <f t="array" ref="E226">IF(Sheet3!A226&lt;&gt;"",_xlfn.XLOOKUP(Sheet3!A226,FoodTable[Food],FoodTable[Fats (g)]*B226,"Not Found",,2),"")</f>
        <v/>
      </c>
      <c r="F226" t="str" cm="1">
        <f t="array" ref="F226">IF(Sheet3!A226&lt;&gt;"",_xlfn.XLOOKUP(Sheet3!A226,FoodTable[Food],FoodTable[Proteins (g)]*B226,"Not Found",,2),"")</f>
        <v/>
      </c>
      <c r="G226" t="str" cm="1">
        <f t="array" ref="G226">IF(Sheet3!A226&lt;&gt;"",_xlfn.XLOOKUP(Sheet3!A226,FoodTable[Food],FoodTable[Fibers]*B226,"Not Found",,2),"")</f>
        <v/>
      </c>
      <c r="H226" t="str" cm="1">
        <f t="array" ref="H226">IF(Sheet3!A226&lt;&gt;"",_xlfn.XLOOKUP(Sheet3!A226,FoodTable[Food],FoodTable[Sugars]*B226,"Not Found",,2),"")</f>
        <v/>
      </c>
    </row>
    <row r="227" spans="2:8" x14ac:dyDescent="0.2">
      <c r="B227" t="str">
        <f t="shared" si="3"/>
        <v/>
      </c>
      <c r="C227" s="6" t="str">
        <f>IF(Sheet3!A227&lt;&gt;"",_xlfn.XLOOKUP(Sheet3!A227,FoodTable[Food],FoodTable[Per Unit],"Not Found",,2),"")</f>
        <v/>
      </c>
      <c r="D227" t="str" cm="1">
        <f t="array" ref="D227">IF(Sheet3!A227&lt;&gt;"",_xlfn.XLOOKUP(Sheet3!A227,FoodTable[Food],FoodTable[Calories (kcal)]*Sheet3!B227,"Not Found",,2),"")</f>
        <v/>
      </c>
      <c r="E227" t="str" cm="1">
        <f t="array" ref="E227">IF(Sheet3!A227&lt;&gt;"",_xlfn.XLOOKUP(Sheet3!A227,FoodTable[Food],FoodTable[Fats (g)]*B227,"Not Found",,2),"")</f>
        <v/>
      </c>
      <c r="F227" t="str" cm="1">
        <f t="array" ref="F227">IF(Sheet3!A227&lt;&gt;"",_xlfn.XLOOKUP(Sheet3!A227,FoodTable[Food],FoodTable[Proteins (g)]*B227,"Not Found",,2),"")</f>
        <v/>
      </c>
      <c r="G227" t="str" cm="1">
        <f t="array" ref="G227">IF(Sheet3!A227&lt;&gt;"",_xlfn.XLOOKUP(Sheet3!A227,FoodTable[Food],FoodTable[Fibers]*B227,"Not Found",,2),"")</f>
        <v/>
      </c>
      <c r="H227" t="str" cm="1">
        <f t="array" ref="H227">IF(Sheet3!A227&lt;&gt;"",_xlfn.XLOOKUP(Sheet3!A227,FoodTable[Food],FoodTable[Sugars]*B227,"Not Found",,2),"")</f>
        <v/>
      </c>
    </row>
    <row r="228" spans="2:8" x14ac:dyDescent="0.2">
      <c r="B228" t="str">
        <f t="shared" si="3"/>
        <v/>
      </c>
      <c r="C228" s="6" t="str">
        <f>IF(Sheet3!A228&lt;&gt;"",_xlfn.XLOOKUP(Sheet3!A228,FoodTable[Food],FoodTable[Per Unit],"Not Found",,2),"")</f>
        <v/>
      </c>
      <c r="D228" t="str" cm="1">
        <f t="array" ref="D228">IF(Sheet3!A228&lt;&gt;"",_xlfn.XLOOKUP(Sheet3!A228,FoodTable[Food],FoodTable[Calories (kcal)]*Sheet3!B228,"Not Found",,2),"")</f>
        <v/>
      </c>
      <c r="E228" t="str" cm="1">
        <f t="array" ref="E228">IF(Sheet3!A228&lt;&gt;"",_xlfn.XLOOKUP(Sheet3!A228,FoodTable[Food],FoodTable[Fats (g)]*B228,"Not Found",,2),"")</f>
        <v/>
      </c>
      <c r="F228" t="str" cm="1">
        <f t="array" ref="F228">IF(Sheet3!A228&lt;&gt;"",_xlfn.XLOOKUP(Sheet3!A228,FoodTable[Food],FoodTable[Proteins (g)]*B228,"Not Found",,2),"")</f>
        <v/>
      </c>
      <c r="G228" t="str" cm="1">
        <f t="array" ref="G228">IF(Sheet3!A228&lt;&gt;"",_xlfn.XLOOKUP(Sheet3!A228,FoodTable[Food],FoodTable[Fibers]*B228,"Not Found",,2),"")</f>
        <v/>
      </c>
      <c r="H228" t="str" cm="1">
        <f t="array" ref="H228">IF(Sheet3!A228&lt;&gt;"",_xlfn.XLOOKUP(Sheet3!A228,FoodTable[Food],FoodTable[Sugars]*B228,"Not Found",,2),"")</f>
        <v/>
      </c>
    </row>
    <row r="229" spans="2:8" x14ac:dyDescent="0.2">
      <c r="B229" t="str">
        <f t="shared" si="3"/>
        <v/>
      </c>
      <c r="C229" s="6" t="str">
        <f>IF(Sheet3!A229&lt;&gt;"",_xlfn.XLOOKUP(Sheet3!A229,FoodTable[Food],FoodTable[Per Unit],"Not Found",,2),"")</f>
        <v/>
      </c>
      <c r="D229" t="str" cm="1">
        <f t="array" ref="D229">IF(Sheet3!A229&lt;&gt;"",_xlfn.XLOOKUP(Sheet3!A229,FoodTable[Food],FoodTable[Calories (kcal)]*Sheet3!B229,"Not Found",,2),"")</f>
        <v/>
      </c>
      <c r="E229" t="str" cm="1">
        <f t="array" ref="E229">IF(Sheet3!A229&lt;&gt;"",_xlfn.XLOOKUP(Sheet3!A229,FoodTable[Food],FoodTable[Fats (g)]*B229,"Not Found",,2),"")</f>
        <v/>
      </c>
      <c r="F229" t="str" cm="1">
        <f t="array" ref="F229">IF(Sheet3!A229&lt;&gt;"",_xlfn.XLOOKUP(Sheet3!A229,FoodTable[Food],FoodTable[Proteins (g)]*B229,"Not Found",,2),"")</f>
        <v/>
      </c>
      <c r="G229" t="str" cm="1">
        <f t="array" ref="G229">IF(Sheet3!A229&lt;&gt;"",_xlfn.XLOOKUP(Sheet3!A229,FoodTable[Food],FoodTable[Fibers]*B229,"Not Found",,2),"")</f>
        <v/>
      </c>
      <c r="H229" t="str" cm="1">
        <f t="array" ref="H229">IF(Sheet3!A229&lt;&gt;"",_xlfn.XLOOKUP(Sheet3!A229,FoodTable[Food],FoodTable[Sugars]*B229,"Not Found",,2),"")</f>
        <v/>
      </c>
    </row>
    <row r="230" spans="2:8" x14ac:dyDescent="0.2">
      <c r="B230" t="str">
        <f t="shared" si="3"/>
        <v/>
      </c>
      <c r="C230" s="6" t="str">
        <f>IF(Sheet3!A230&lt;&gt;"",_xlfn.XLOOKUP(Sheet3!A230,FoodTable[Food],FoodTable[Per Unit],"Not Found",,2),"")</f>
        <v/>
      </c>
      <c r="D230" t="str" cm="1">
        <f t="array" ref="D230">IF(Sheet3!A230&lt;&gt;"",_xlfn.XLOOKUP(Sheet3!A230,FoodTable[Food],FoodTable[Calories (kcal)]*Sheet3!B230,"Not Found",,2),"")</f>
        <v/>
      </c>
      <c r="E230" t="str" cm="1">
        <f t="array" ref="E230">IF(Sheet3!A230&lt;&gt;"",_xlfn.XLOOKUP(Sheet3!A230,FoodTable[Food],FoodTable[Fats (g)]*B230,"Not Found",,2),"")</f>
        <v/>
      </c>
      <c r="F230" t="str" cm="1">
        <f t="array" ref="F230">IF(Sheet3!A230&lt;&gt;"",_xlfn.XLOOKUP(Sheet3!A230,FoodTable[Food],FoodTable[Proteins (g)]*B230,"Not Found",,2),"")</f>
        <v/>
      </c>
      <c r="G230" t="str" cm="1">
        <f t="array" ref="G230">IF(Sheet3!A230&lt;&gt;"",_xlfn.XLOOKUP(Sheet3!A230,FoodTable[Food],FoodTable[Fibers]*B230,"Not Found",,2),"")</f>
        <v/>
      </c>
      <c r="H230" t="str" cm="1">
        <f t="array" ref="H230">IF(Sheet3!A230&lt;&gt;"",_xlfn.XLOOKUP(Sheet3!A230,FoodTable[Food],FoodTable[Sugars]*B230,"Not Found",,2),"")</f>
        <v/>
      </c>
    </row>
    <row r="231" spans="2:8" x14ac:dyDescent="0.2">
      <c r="B231" t="str">
        <f t="shared" si="3"/>
        <v/>
      </c>
      <c r="C231" s="6" t="str">
        <f>IF(Sheet3!A231&lt;&gt;"",_xlfn.XLOOKUP(Sheet3!A231,FoodTable[Food],FoodTable[Per Unit],"Not Found",,2),"")</f>
        <v/>
      </c>
      <c r="D231" t="str" cm="1">
        <f t="array" ref="D231">IF(Sheet3!A231&lt;&gt;"",_xlfn.XLOOKUP(Sheet3!A231,FoodTable[Food],FoodTable[Calories (kcal)]*Sheet3!B231,"Not Found",,2),"")</f>
        <v/>
      </c>
      <c r="E231" t="str" cm="1">
        <f t="array" ref="E231">IF(Sheet3!A231&lt;&gt;"",_xlfn.XLOOKUP(Sheet3!A231,FoodTable[Food],FoodTable[Fats (g)]*B231,"Not Found",,2),"")</f>
        <v/>
      </c>
      <c r="F231" t="str" cm="1">
        <f t="array" ref="F231">IF(Sheet3!A231&lt;&gt;"",_xlfn.XLOOKUP(Sheet3!A231,FoodTable[Food],FoodTable[Proteins (g)]*B231,"Not Found",,2),"")</f>
        <v/>
      </c>
      <c r="G231" t="str" cm="1">
        <f t="array" ref="G231">IF(Sheet3!A231&lt;&gt;"",_xlfn.XLOOKUP(Sheet3!A231,FoodTable[Food],FoodTable[Fibers]*B231,"Not Found",,2),"")</f>
        <v/>
      </c>
      <c r="H231" t="str" cm="1">
        <f t="array" ref="H231">IF(Sheet3!A231&lt;&gt;"",_xlfn.XLOOKUP(Sheet3!A231,FoodTable[Food],FoodTable[Sugars]*B231,"Not Found",,2),"")</f>
        <v/>
      </c>
    </row>
    <row r="232" spans="2:8" x14ac:dyDescent="0.2">
      <c r="B232" t="str">
        <f t="shared" si="3"/>
        <v/>
      </c>
      <c r="C232" s="6" t="str">
        <f>IF(Sheet3!A232&lt;&gt;"",_xlfn.XLOOKUP(Sheet3!A232,FoodTable[Food],FoodTable[Per Unit],"Not Found",,2),"")</f>
        <v/>
      </c>
      <c r="D232" t="str" cm="1">
        <f t="array" ref="D232">IF(Sheet3!A232&lt;&gt;"",_xlfn.XLOOKUP(Sheet3!A232,FoodTable[Food],FoodTable[Calories (kcal)]*Sheet3!B232,"Not Found",,2),"")</f>
        <v/>
      </c>
      <c r="E232" t="str" cm="1">
        <f t="array" ref="E232">IF(Sheet3!A232&lt;&gt;"",_xlfn.XLOOKUP(Sheet3!A232,FoodTable[Food],FoodTable[Fats (g)]*B232,"Not Found",,2),"")</f>
        <v/>
      </c>
      <c r="F232" t="str" cm="1">
        <f t="array" ref="F232">IF(Sheet3!A232&lt;&gt;"",_xlfn.XLOOKUP(Sheet3!A232,FoodTable[Food],FoodTable[Proteins (g)]*B232,"Not Found",,2),"")</f>
        <v/>
      </c>
      <c r="G232" t="str" cm="1">
        <f t="array" ref="G232">IF(Sheet3!A232&lt;&gt;"",_xlfn.XLOOKUP(Sheet3!A232,FoodTable[Food],FoodTable[Fibers]*B232,"Not Found",,2),"")</f>
        <v/>
      </c>
      <c r="H232" t="str" cm="1">
        <f t="array" ref="H232">IF(Sheet3!A232&lt;&gt;"",_xlfn.XLOOKUP(Sheet3!A232,FoodTable[Food],FoodTable[Sugars]*B232,"Not Found",,2),"")</f>
        <v/>
      </c>
    </row>
    <row r="233" spans="2:8" x14ac:dyDescent="0.2">
      <c r="B233" t="str">
        <f t="shared" si="3"/>
        <v/>
      </c>
      <c r="C233" s="6" t="str">
        <f>IF(Sheet3!A233&lt;&gt;"",_xlfn.XLOOKUP(Sheet3!A233,FoodTable[Food],FoodTable[Per Unit],"Not Found",,2),"")</f>
        <v/>
      </c>
      <c r="D233" t="str" cm="1">
        <f t="array" ref="D233">IF(Sheet3!A233&lt;&gt;"",_xlfn.XLOOKUP(Sheet3!A233,FoodTable[Food],FoodTable[Calories (kcal)]*Sheet3!B233,"Not Found",,2),"")</f>
        <v/>
      </c>
      <c r="E233" t="str" cm="1">
        <f t="array" ref="E233">IF(Sheet3!A233&lt;&gt;"",_xlfn.XLOOKUP(Sheet3!A233,FoodTable[Food],FoodTable[Fats (g)]*B233,"Not Found",,2),"")</f>
        <v/>
      </c>
      <c r="F233" t="str" cm="1">
        <f t="array" ref="F233">IF(Sheet3!A233&lt;&gt;"",_xlfn.XLOOKUP(Sheet3!A233,FoodTable[Food],FoodTable[Proteins (g)]*B233,"Not Found",,2),"")</f>
        <v/>
      </c>
      <c r="G233" t="str" cm="1">
        <f t="array" ref="G233">IF(Sheet3!A233&lt;&gt;"",_xlfn.XLOOKUP(Sheet3!A233,FoodTable[Food],FoodTable[Fibers]*B233,"Not Found",,2),"")</f>
        <v/>
      </c>
      <c r="H233" t="str" cm="1">
        <f t="array" ref="H233">IF(Sheet3!A233&lt;&gt;"",_xlfn.XLOOKUP(Sheet3!A233,FoodTable[Food],FoodTable[Sugars]*B233,"Not Found",,2),"")</f>
        <v/>
      </c>
    </row>
    <row r="234" spans="2:8" x14ac:dyDescent="0.2">
      <c r="B234" t="str">
        <f t="shared" si="3"/>
        <v/>
      </c>
      <c r="C234" s="6" t="str">
        <f>IF(Sheet3!A234&lt;&gt;"",_xlfn.XLOOKUP(Sheet3!A234,FoodTable[Food],FoodTable[Per Unit],"Not Found",,2),"")</f>
        <v/>
      </c>
      <c r="D234" t="str" cm="1">
        <f t="array" ref="D234">IF(Sheet3!A234&lt;&gt;"",_xlfn.XLOOKUP(Sheet3!A234,FoodTable[Food],FoodTable[Calories (kcal)]*Sheet3!B234,"Not Found",,2),"")</f>
        <v/>
      </c>
      <c r="E234" t="str" cm="1">
        <f t="array" ref="E234">IF(Sheet3!A234&lt;&gt;"",_xlfn.XLOOKUP(Sheet3!A234,FoodTable[Food],FoodTable[Fats (g)]*B234,"Not Found",,2),"")</f>
        <v/>
      </c>
      <c r="F234" t="str" cm="1">
        <f t="array" ref="F234">IF(Sheet3!A234&lt;&gt;"",_xlfn.XLOOKUP(Sheet3!A234,FoodTable[Food],FoodTable[Proteins (g)]*B234,"Not Found",,2),"")</f>
        <v/>
      </c>
      <c r="G234" t="str" cm="1">
        <f t="array" ref="G234">IF(Sheet3!A234&lt;&gt;"",_xlfn.XLOOKUP(Sheet3!A234,FoodTable[Food],FoodTable[Fibers]*B234,"Not Found",,2),"")</f>
        <v/>
      </c>
      <c r="H234" t="str" cm="1">
        <f t="array" ref="H234">IF(Sheet3!A234&lt;&gt;"",_xlfn.XLOOKUP(Sheet3!A234,FoodTable[Food],FoodTable[Sugars]*B234,"Not Found",,2),"")</f>
        <v/>
      </c>
    </row>
    <row r="235" spans="2:8" x14ac:dyDescent="0.2">
      <c r="B235" t="str">
        <f t="shared" si="3"/>
        <v/>
      </c>
      <c r="C235" s="6" t="str">
        <f>IF(Sheet3!A235&lt;&gt;"",_xlfn.XLOOKUP(Sheet3!A235,FoodTable[Food],FoodTable[Per Unit],"Not Found",,2),"")</f>
        <v/>
      </c>
      <c r="D235" t="str" cm="1">
        <f t="array" ref="D235">IF(Sheet3!A235&lt;&gt;"",_xlfn.XLOOKUP(Sheet3!A235,FoodTable[Food],FoodTable[Calories (kcal)]*Sheet3!B235,"Not Found",,2),"")</f>
        <v/>
      </c>
      <c r="E235" t="str" cm="1">
        <f t="array" ref="E235">IF(Sheet3!A235&lt;&gt;"",_xlfn.XLOOKUP(Sheet3!A235,FoodTable[Food],FoodTable[Fats (g)]*B235,"Not Found",,2),"")</f>
        <v/>
      </c>
      <c r="F235" t="str" cm="1">
        <f t="array" ref="F235">IF(Sheet3!A235&lt;&gt;"",_xlfn.XLOOKUP(Sheet3!A235,FoodTable[Food],FoodTable[Proteins (g)]*B235,"Not Found",,2),"")</f>
        <v/>
      </c>
      <c r="G235" t="str" cm="1">
        <f t="array" ref="G235">IF(Sheet3!A235&lt;&gt;"",_xlfn.XLOOKUP(Sheet3!A235,FoodTable[Food],FoodTable[Fibers]*B235,"Not Found",,2),"")</f>
        <v/>
      </c>
      <c r="H235" t="str" cm="1">
        <f t="array" ref="H235">IF(Sheet3!A235&lt;&gt;"",_xlfn.XLOOKUP(Sheet3!A235,FoodTable[Food],FoodTable[Sugars]*B235,"Not Found",,2),"")</f>
        <v/>
      </c>
    </row>
    <row r="236" spans="2:8" x14ac:dyDescent="0.2">
      <c r="B236" t="str">
        <f t="shared" si="3"/>
        <v/>
      </c>
      <c r="C236" s="6" t="str">
        <f>IF(Sheet3!A236&lt;&gt;"",_xlfn.XLOOKUP(Sheet3!A236,FoodTable[Food],FoodTable[Per Unit],"Not Found",,2),"")</f>
        <v/>
      </c>
      <c r="D236" t="str" cm="1">
        <f t="array" ref="D236">IF(Sheet3!A236&lt;&gt;"",_xlfn.XLOOKUP(Sheet3!A236,FoodTable[Food],FoodTable[Calories (kcal)]*Sheet3!B236,"Not Found",,2),"")</f>
        <v/>
      </c>
      <c r="E236" t="str" cm="1">
        <f t="array" ref="E236">IF(Sheet3!A236&lt;&gt;"",_xlfn.XLOOKUP(Sheet3!A236,FoodTable[Food],FoodTable[Fats (g)]*B236,"Not Found",,2),"")</f>
        <v/>
      </c>
      <c r="F236" t="str" cm="1">
        <f t="array" ref="F236">IF(Sheet3!A236&lt;&gt;"",_xlfn.XLOOKUP(Sheet3!A236,FoodTable[Food],FoodTable[Proteins (g)]*B236,"Not Found",,2),"")</f>
        <v/>
      </c>
      <c r="G236" t="str" cm="1">
        <f t="array" ref="G236">IF(Sheet3!A236&lt;&gt;"",_xlfn.XLOOKUP(Sheet3!A236,FoodTable[Food],FoodTable[Fibers]*B236,"Not Found",,2),"")</f>
        <v/>
      </c>
      <c r="H236" t="str" cm="1">
        <f t="array" ref="H236">IF(Sheet3!A236&lt;&gt;"",_xlfn.XLOOKUP(Sheet3!A236,FoodTable[Food],FoodTable[Sugars]*B236,"Not Found",,2),"")</f>
        <v/>
      </c>
    </row>
    <row r="237" spans="2:8" x14ac:dyDescent="0.2">
      <c r="B237" t="str">
        <f t="shared" si="3"/>
        <v/>
      </c>
      <c r="C237" s="6" t="str">
        <f>IF(Sheet3!A237&lt;&gt;"",_xlfn.XLOOKUP(Sheet3!A237,FoodTable[Food],FoodTable[Per Unit],"Not Found",,2),"")</f>
        <v/>
      </c>
      <c r="D237" t="str" cm="1">
        <f t="array" ref="D237">IF(Sheet3!A237&lt;&gt;"",_xlfn.XLOOKUP(Sheet3!A237,FoodTable[Food],FoodTable[Calories (kcal)]*Sheet3!B237,"Not Found",,2),"")</f>
        <v/>
      </c>
      <c r="E237" t="str" cm="1">
        <f t="array" ref="E237">IF(Sheet3!A237&lt;&gt;"",_xlfn.XLOOKUP(Sheet3!A237,FoodTable[Food],FoodTable[Fats (g)]*B237,"Not Found",,2),"")</f>
        <v/>
      </c>
      <c r="F237" t="str" cm="1">
        <f t="array" ref="F237">IF(Sheet3!A237&lt;&gt;"",_xlfn.XLOOKUP(Sheet3!A237,FoodTable[Food],FoodTable[Proteins (g)]*B237,"Not Found",,2),"")</f>
        <v/>
      </c>
      <c r="G237" t="str" cm="1">
        <f t="array" ref="G237">IF(Sheet3!A237&lt;&gt;"",_xlfn.XLOOKUP(Sheet3!A237,FoodTable[Food],FoodTable[Fibers]*B237,"Not Found",,2),"")</f>
        <v/>
      </c>
      <c r="H237" t="str" cm="1">
        <f t="array" ref="H237">IF(Sheet3!A237&lt;&gt;"",_xlfn.XLOOKUP(Sheet3!A237,FoodTable[Food],FoodTable[Sugars]*B237,"Not Found",,2),"")</f>
        <v/>
      </c>
    </row>
    <row r="238" spans="2:8" x14ac:dyDescent="0.2">
      <c r="B238" t="str">
        <f t="shared" si="3"/>
        <v/>
      </c>
      <c r="C238" s="6" t="str">
        <f>IF(Sheet3!A238&lt;&gt;"",_xlfn.XLOOKUP(Sheet3!A238,FoodTable[Food],FoodTable[Per Unit],"Not Found",,2),"")</f>
        <v/>
      </c>
      <c r="D238" t="str" cm="1">
        <f t="array" ref="D238">IF(Sheet3!A238&lt;&gt;"",_xlfn.XLOOKUP(Sheet3!A238,FoodTable[Food],FoodTable[Calories (kcal)]*Sheet3!B238,"Not Found",,2),"")</f>
        <v/>
      </c>
      <c r="E238" t="str" cm="1">
        <f t="array" ref="E238">IF(Sheet3!A238&lt;&gt;"",_xlfn.XLOOKUP(Sheet3!A238,FoodTable[Food],FoodTable[Fats (g)]*B238,"Not Found",,2),"")</f>
        <v/>
      </c>
      <c r="F238" t="str" cm="1">
        <f t="array" ref="F238">IF(Sheet3!A238&lt;&gt;"",_xlfn.XLOOKUP(Sheet3!A238,FoodTable[Food],FoodTable[Proteins (g)]*B238,"Not Found",,2),"")</f>
        <v/>
      </c>
      <c r="G238" t="str" cm="1">
        <f t="array" ref="G238">IF(Sheet3!A238&lt;&gt;"",_xlfn.XLOOKUP(Sheet3!A238,FoodTable[Food],FoodTable[Fibers]*B238,"Not Found",,2),"")</f>
        <v/>
      </c>
      <c r="H238" t="str" cm="1">
        <f t="array" ref="H238">IF(Sheet3!A238&lt;&gt;"",_xlfn.XLOOKUP(Sheet3!A238,FoodTable[Food],FoodTable[Sugars]*B238,"Not Found",,2),"")</f>
        <v/>
      </c>
    </row>
    <row r="239" spans="2:8" x14ac:dyDescent="0.2">
      <c r="B239" t="str">
        <f t="shared" si="3"/>
        <v/>
      </c>
      <c r="C239" s="6" t="str">
        <f>IF(Sheet3!A239&lt;&gt;"",_xlfn.XLOOKUP(Sheet3!A239,FoodTable[Food],FoodTable[Per Unit],"Not Found",,2),"")</f>
        <v/>
      </c>
      <c r="D239" t="str" cm="1">
        <f t="array" ref="D239">IF(Sheet3!A239&lt;&gt;"",_xlfn.XLOOKUP(Sheet3!A239,FoodTable[Food],FoodTable[Calories (kcal)]*Sheet3!B239,"Not Found",,2),"")</f>
        <v/>
      </c>
      <c r="E239" t="str" cm="1">
        <f t="array" ref="E239">IF(Sheet3!A239&lt;&gt;"",_xlfn.XLOOKUP(Sheet3!A239,FoodTable[Food],FoodTable[Fats (g)]*B239,"Not Found",,2),"")</f>
        <v/>
      </c>
      <c r="F239" t="str" cm="1">
        <f t="array" ref="F239">IF(Sheet3!A239&lt;&gt;"",_xlfn.XLOOKUP(Sheet3!A239,FoodTable[Food],FoodTable[Proteins (g)]*B239,"Not Found",,2),"")</f>
        <v/>
      </c>
      <c r="G239" t="str" cm="1">
        <f t="array" ref="G239">IF(Sheet3!A239&lt;&gt;"",_xlfn.XLOOKUP(Sheet3!A239,FoodTable[Food],FoodTable[Fibers]*B239,"Not Found",,2),"")</f>
        <v/>
      </c>
      <c r="H239" t="str" cm="1">
        <f t="array" ref="H239">IF(Sheet3!A239&lt;&gt;"",_xlfn.XLOOKUP(Sheet3!A239,FoodTable[Food],FoodTable[Sugars]*B239,"Not Found",,2),"")</f>
        <v/>
      </c>
    </row>
    <row r="240" spans="2:8" x14ac:dyDescent="0.2">
      <c r="B240" t="str">
        <f t="shared" si="3"/>
        <v/>
      </c>
      <c r="C240" s="6" t="str">
        <f>IF(Sheet3!A240&lt;&gt;"",_xlfn.XLOOKUP(Sheet3!A240,FoodTable[Food],FoodTable[Per Unit],"Not Found",,2),"")</f>
        <v/>
      </c>
      <c r="D240" t="str" cm="1">
        <f t="array" ref="D240">IF(Sheet3!A240&lt;&gt;"",_xlfn.XLOOKUP(Sheet3!A240,FoodTable[Food],FoodTable[Calories (kcal)]*Sheet3!B240,"Not Found",,2),"")</f>
        <v/>
      </c>
      <c r="E240" t="str" cm="1">
        <f t="array" ref="E240">IF(Sheet3!A240&lt;&gt;"",_xlfn.XLOOKUP(Sheet3!A240,FoodTable[Food],FoodTable[Fats (g)]*B240,"Not Found",,2),"")</f>
        <v/>
      </c>
      <c r="F240" t="str" cm="1">
        <f t="array" ref="F240">IF(Sheet3!A240&lt;&gt;"",_xlfn.XLOOKUP(Sheet3!A240,FoodTable[Food],FoodTable[Proteins (g)]*B240,"Not Found",,2),"")</f>
        <v/>
      </c>
      <c r="G240" t="str" cm="1">
        <f t="array" ref="G240">IF(Sheet3!A240&lt;&gt;"",_xlfn.XLOOKUP(Sheet3!A240,FoodTable[Food],FoodTable[Fibers]*B240,"Not Found",,2),"")</f>
        <v/>
      </c>
      <c r="H240" t="str" cm="1">
        <f t="array" ref="H240">IF(Sheet3!A240&lt;&gt;"",_xlfn.XLOOKUP(Sheet3!A240,FoodTable[Food],FoodTable[Sugars]*B240,"Not Found",,2),"")</f>
        <v/>
      </c>
    </row>
    <row r="241" spans="2:8" x14ac:dyDescent="0.2">
      <c r="B241" t="str">
        <f t="shared" si="3"/>
        <v/>
      </c>
      <c r="C241" s="6" t="str">
        <f>IF(Sheet3!A241&lt;&gt;"",_xlfn.XLOOKUP(Sheet3!A241,FoodTable[Food],FoodTable[Per Unit],"Not Found",,2),"")</f>
        <v/>
      </c>
      <c r="D241" t="str" cm="1">
        <f t="array" ref="D241">IF(Sheet3!A241&lt;&gt;"",_xlfn.XLOOKUP(Sheet3!A241,FoodTable[Food],FoodTable[Calories (kcal)]*Sheet3!B241,"Not Found",,2),"")</f>
        <v/>
      </c>
      <c r="E241" t="str" cm="1">
        <f t="array" ref="E241">IF(Sheet3!A241&lt;&gt;"",_xlfn.XLOOKUP(Sheet3!A241,FoodTable[Food],FoodTable[Fats (g)]*B241,"Not Found",,2),"")</f>
        <v/>
      </c>
      <c r="F241" t="str" cm="1">
        <f t="array" ref="F241">IF(Sheet3!A241&lt;&gt;"",_xlfn.XLOOKUP(Sheet3!A241,FoodTable[Food],FoodTable[Proteins (g)]*B241,"Not Found",,2),"")</f>
        <v/>
      </c>
      <c r="G241" t="str" cm="1">
        <f t="array" ref="G241">IF(Sheet3!A241&lt;&gt;"",_xlfn.XLOOKUP(Sheet3!A241,FoodTable[Food],FoodTable[Fibers]*B241,"Not Found",,2),"")</f>
        <v/>
      </c>
      <c r="H241" t="str" cm="1">
        <f t="array" ref="H241">IF(Sheet3!A241&lt;&gt;"",_xlfn.XLOOKUP(Sheet3!A241,FoodTable[Food],FoodTable[Sugars]*B241,"Not Found",,2),"")</f>
        <v/>
      </c>
    </row>
    <row r="242" spans="2:8" x14ac:dyDescent="0.2">
      <c r="B242" t="str">
        <f t="shared" si="3"/>
        <v/>
      </c>
      <c r="C242" s="6" t="str">
        <f>IF(Sheet3!A242&lt;&gt;"",_xlfn.XLOOKUP(Sheet3!A242,FoodTable[Food],FoodTable[Per Unit],"Not Found",,2),"")</f>
        <v/>
      </c>
      <c r="D242" t="str" cm="1">
        <f t="array" ref="D242">IF(Sheet3!A242&lt;&gt;"",_xlfn.XLOOKUP(Sheet3!A242,FoodTable[Food],FoodTable[Calories (kcal)]*Sheet3!B242,"Not Found",,2),"")</f>
        <v/>
      </c>
      <c r="E242" t="str" cm="1">
        <f t="array" ref="E242">IF(Sheet3!A242&lt;&gt;"",_xlfn.XLOOKUP(Sheet3!A242,FoodTable[Food],FoodTable[Fats (g)]*B242,"Not Found",,2),"")</f>
        <v/>
      </c>
      <c r="F242" t="str" cm="1">
        <f t="array" ref="F242">IF(Sheet3!A242&lt;&gt;"",_xlfn.XLOOKUP(Sheet3!A242,FoodTable[Food],FoodTable[Proteins (g)]*B242,"Not Found",,2),"")</f>
        <v/>
      </c>
      <c r="G242" t="str" cm="1">
        <f t="array" ref="G242">IF(Sheet3!A242&lt;&gt;"",_xlfn.XLOOKUP(Sheet3!A242,FoodTable[Food],FoodTable[Fibers]*B242,"Not Found",,2),"")</f>
        <v/>
      </c>
      <c r="H242" t="str" cm="1">
        <f t="array" ref="H242">IF(Sheet3!A242&lt;&gt;"",_xlfn.XLOOKUP(Sheet3!A242,FoodTable[Food],FoodTable[Sugars]*B242,"Not Found",,2),"")</f>
        <v/>
      </c>
    </row>
    <row r="243" spans="2:8" x14ac:dyDescent="0.2">
      <c r="B243" t="str">
        <f t="shared" si="3"/>
        <v/>
      </c>
      <c r="C243" s="6" t="str">
        <f>IF(Sheet3!A243&lt;&gt;"",_xlfn.XLOOKUP(Sheet3!A243,FoodTable[Food],FoodTable[Per Unit],"Not Found",,2),"")</f>
        <v/>
      </c>
      <c r="D243" t="str" cm="1">
        <f t="array" ref="D243">IF(Sheet3!A243&lt;&gt;"",_xlfn.XLOOKUP(Sheet3!A243,FoodTable[Food],FoodTable[Calories (kcal)]*Sheet3!B243,"Not Found",,2),"")</f>
        <v/>
      </c>
      <c r="E243" t="str" cm="1">
        <f t="array" ref="E243">IF(Sheet3!A243&lt;&gt;"",_xlfn.XLOOKUP(Sheet3!A243,FoodTable[Food],FoodTable[Fats (g)]*B243,"Not Found",,2),"")</f>
        <v/>
      </c>
      <c r="F243" t="str" cm="1">
        <f t="array" ref="F243">IF(Sheet3!A243&lt;&gt;"",_xlfn.XLOOKUP(Sheet3!A243,FoodTable[Food],FoodTable[Proteins (g)]*B243,"Not Found",,2),"")</f>
        <v/>
      </c>
      <c r="G243" t="str" cm="1">
        <f t="array" ref="G243">IF(Sheet3!A243&lt;&gt;"",_xlfn.XLOOKUP(Sheet3!A243,FoodTable[Food],FoodTable[Fibers]*B243,"Not Found",,2),"")</f>
        <v/>
      </c>
      <c r="H243" t="str" cm="1">
        <f t="array" ref="H243">IF(Sheet3!A243&lt;&gt;"",_xlfn.XLOOKUP(Sheet3!A243,FoodTable[Food],FoodTable[Sugars]*B243,"Not Found",,2),"")</f>
        <v/>
      </c>
    </row>
    <row r="244" spans="2:8" x14ac:dyDescent="0.2">
      <c r="B244" t="str">
        <f t="shared" si="3"/>
        <v/>
      </c>
      <c r="C244" s="6" t="str">
        <f>IF(Sheet3!A244&lt;&gt;"",_xlfn.XLOOKUP(Sheet3!A244,FoodTable[Food],FoodTable[Per Unit],"Not Found",,2),"")</f>
        <v/>
      </c>
      <c r="D244" t="str" cm="1">
        <f t="array" ref="D244">IF(Sheet3!A244&lt;&gt;"",_xlfn.XLOOKUP(Sheet3!A244,FoodTable[Food],FoodTable[Calories (kcal)]*Sheet3!B244,"Not Found",,2),"")</f>
        <v/>
      </c>
      <c r="E244" t="str" cm="1">
        <f t="array" ref="E244">IF(Sheet3!A244&lt;&gt;"",_xlfn.XLOOKUP(Sheet3!A244,FoodTable[Food],FoodTable[Fats (g)]*B244,"Not Found",,2),"")</f>
        <v/>
      </c>
      <c r="F244" t="str" cm="1">
        <f t="array" ref="F244">IF(Sheet3!A244&lt;&gt;"",_xlfn.XLOOKUP(Sheet3!A244,FoodTable[Food],FoodTable[Proteins (g)]*B244,"Not Found",,2),"")</f>
        <v/>
      </c>
      <c r="G244" t="str" cm="1">
        <f t="array" ref="G244">IF(Sheet3!A244&lt;&gt;"",_xlfn.XLOOKUP(Sheet3!A244,FoodTable[Food],FoodTable[Fibers]*B244,"Not Found",,2),"")</f>
        <v/>
      </c>
      <c r="H244" t="str" cm="1">
        <f t="array" ref="H244">IF(Sheet3!A244&lt;&gt;"",_xlfn.XLOOKUP(Sheet3!A244,FoodTable[Food],FoodTable[Sugars]*B244,"Not Found",,2),"")</f>
        <v/>
      </c>
    </row>
    <row r="245" spans="2:8" x14ac:dyDescent="0.2">
      <c r="B245" t="str">
        <f t="shared" si="3"/>
        <v/>
      </c>
      <c r="C245" s="6" t="str">
        <f>IF(Sheet3!A245&lt;&gt;"",_xlfn.XLOOKUP(Sheet3!A245,FoodTable[Food],FoodTable[Per Unit],"Not Found",,2),"")</f>
        <v/>
      </c>
      <c r="D245" t="str" cm="1">
        <f t="array" ref="D245">IF(Sheet3!A245&lt;&gt;"",_xlfn.XLOOKUP(Sheet3!A245,FoodTable[Food],FoodTable[Calories (kcal)]*Sheet3!B245,"Not Found",,2),"")</f>
        <v/>
      </c>
      <c r="E245" t="str" cm="1">
        <f t="array" ref="E245">IF(Sheet3!A245&lt;&gt;"",_xlfn.XLOOKUP(Sheet3!A245,FoodTable[Food],FoodTable[Fats (g)]*B245,"Not Found",,2),"")</f>
        <v/>
      </c>
      <c r="F245" t="str" cm="1">
        <f t="array" ref="F245">IF(Sheet3!A245&lt;&gt;"",_xlfn.XLOOKUP(Sheet3!A245,FoodTable[Food],FoodTable[Proteins (g)]*B245,"Not Found",,2),"")</f>
        <v/>
      </c>
      <c r="G245" t="str" cm="1">
        <f t="array" ref="G245">IF(Sheet3!A245&lt;&gt;"",_xlfn.XLOOKUP(Sheet3!A245,FoodTable[Food],FoodTable[Fibers]*B245,"Not Found",,2),"")</f>
        <v/>
      </c>
      <c r="H245" t="str" cm="1">
        <f t="array" ref="H245">IF(Sheet3!A245&lt;&gt;"",_xlfn.XLOOKUP(Sheet3!A245,FoodTable[Food],FoodTable[Sugars]*B245,"Not Found",,2),"")</f>
        <v/>
      </c>
    </row>
    <row r="246" spans="2:8" x14ac:dyDescent="0.2">
      <c r="B246" t="str">
        <f t="shared" si="3"/>
        <v/>
      </c>
      <c r="C246" s="6" t="str">
        <f>IF(Sheet3!A246&lt;&gt;"",_xlfn.XLOOKUP(Sheet3!A246,FoodTable[Food],FoodTable[Per Unit],"Not Found",,2),"")</f>
        <v/>
      </c>
      <c r="D246" t="str" cm="1">
        <f t="array" ref="D246">IF(Sheet3!A246&lt;&gt;"",_xlfn.XLOOKUP(Sheet3!A246,FoodTable[Food],FoodTable[Calories (kcal)]*Sheet3!B246,"Not Found",,2),"")</f>
        <v/>
      </c>
      <c r="E246" t="str" cm="1">
        <f t="array" ref="E246">IF(Sheet3!A246&lt;&gt;"",_xlfn.XLOOKUP(Sheet3!A246,FoodTable[Food],FoodTable[Fats (g)]*B246,"Not Found",,2),"")</f>
        <v/>
      </c>
      <c r="F246" t="str" cm="1">
        <f t="array" ref="F246">IF(Sheet3!A246&lt;&gt;"",_xlfn.XLOOKUP(Sheet3!A246,FoodTable[Food],FoodTable[Proteins (g)]*B246,"Not Found",,2),"")</f>
        <v/>
      </c>
      <c r="G246" t="str" cm="1">
        <f t="array" ref="G246">IF(Sheet3!A246&lt;&gt;"",_xlfn.XLOOKUP(Sheet3!A246,FoodTable[Food],FoodTable[Fibers]*B246,"Not Found",,2),"")</f>
        <v/>
      </c>
      <c r="H246" t="str" cm="1">
        <f t="array" ref="H246">IF(Sheet3!A246&lt;&gt;"",_xlfn.XLOOKUP(Sheet3!A246,FoodTable[Food],FoodTable[Sugars]*B246,"Not Found",,2),"")</f>
        <v/>
      </c>
    </row>
    <row r="247" spans="2:8" x14ac:dyDescent="0.2">
      <c r="B247" t="str">
        <f t="shared" si="3"/>
        <v/>
      </c>
      <c r="C247" s="6" t="str">
        <f>IF(Sheet3!A247&lt;&gt;"",_xlfn.XLOOKUP(Sheet3!A247,FoodTable[Food],FoodTable[Per Unit],"Not Found",,2),"")</f>
        <v/>
      </c>
      <c r="D247" t="str" cm="1">
        <f t="array" ref="D247">IF(Sheet3!A247&lt;&gt;"",_xlfn.XLOOKUP(Sheet3!A247,FoodTable[Food],FoodTable[Calories (kcal)]*Sheet3!B247,"Not Found",,2),"")</f>
        <v/>
      </c>
      <c r="E247" t="str" cm="1">
        <f t="array" ref="E247">IF(Sheet3!A247&lt;&gt;"",_xlfn.XLOOKUP(Sheet3!A247,FoodTable[Food],FoodTable[Fats (g)]*B247,"Not Found",,2),"")</f>
        <v/>
      </c>
      <c r="F247" t="str" cm="1">
        <f t="array" ref="F247">IF(Sheet3!A247&lt;&gt;"",_xlfn.XLOOKUP(Sheet3!A247,FoodTable[Food],FoodTable[Proteins (g)]*B247,"Not Found",,2),"")</f>
        <v/>
      </c>
      <c r="G247" t="str" cm="1">
        <f t="array" ref="G247">IF(Sheet3!A247&lt;&gt;"",_xlfn.XLOOKUP(Sheet3!A247,FoodTable[Food],FoodTable[Fibers]*B247,"Not Found",,2),"")</f>
        <v/>
      </c>
      <c r="H247" t="str" cm="1">
        <f t="array" ref="H247">IF(Sheet3!A247&lt;&gt;"",_xlfn.XLOOKUP(Sheet3!A247,FoodTable[Food],FoodTable[Sugars]*B247,"Not Found",,2),"")</f>
        <v/>
      </c>
    </row>
    <row r="248" spans="2:8" x14ac:dyDescent="0.2">
      <c r="B248" t="str">
        <f t="shared" si="3"/>
        <v/>
      </c>
      <c r="C248" s="6" t="str">
        <f>IF(Sheet3!A248&lt;&gt;"",_xlfn.XLOOKUP(Sheet3!A248,FoodTable[Food],FoodTable[Per Unit],"Not Found",,2),"")</f>
        <v/>
      </c>
      <c r="D248" t="str" cm="1">
        <f t="array" ref="D248">IF(Sheet3!A248&lt;&gt;"",_xlfn.XLOOKUP(Sheet3!A248,FoodTable[Food],FoodTable[Calories (kcal)]*Sheet3!B248,"Not Found",,2),"")</f>
        <v/>
      </c>
      <c r="E248" t="str" cm="1">
        <f t="array" ref="E248">IF(Sheet3!A248&lt;&gt;"",_xlfn.XLOOKUP(Sheet3!A248,FoodTable[Food],FoodTable[Fats (g)]*B248,"Not Found",,2),"")</f>
        <v/>
      </c>
      <c r="F248" t="str" cm="1">
        <f t="array" ref="F248">IF(Sheet3!A248&lt;&gt;"",_xlfn.XLOOKUP(Sheet3!A248,FoodTable[Food],FoodTable[Proteins (g)]*B248,"Not Found",,2),"")</f>
        <v/>
      </c>
      <c r="G248" t="str" cm="1">
        <f t="array" ref="G248">IF(Sheet3!A248&lt;&gt;"",_xlfn.XLOOKUP(Sheet3!A248,FoodTable[Food],FoodTable[Fibers]*B248,"Not Found",,2),"")</f>
        <v/>
      </c>
      <c r="H248" t="str" cm="1">
        <f t="array" ref="H248">IF(Sheet3!A248&lt;&gt;"",_xlfn.XLOOKUP(Sheet3!A248,FoodTable[Food],FoodTable[Sugars]*B248,"Not Found",,2),"")</f>
        <v/>
      </c>
    </row>
    <row r="249" spans="2:8" x14ac:dyDescent="0.2">
      <c r="B249" t="str">
        <f t="shared" si="3"/>
        <v/>
      </c>
      <c r="C249" s="6" t="str">
        <f>IF(Sheet3!A249&lt;&gt;"",_xlfn.XLOOKUP(Sheet3!A249,FoodTable[Food],FoodTable[Per Unit],"Not Found",,2),"")</f>
        <v/>
      </c>
      <c r="D249" t="str" cm="1">
        <f t="array" ref="D249">IF(Sheet3!A249&lt;&gt;"",_xlfn.XLOOKUP(Sheet3!A249,FoodTable[Food],FoodTable[Calories (kcal)]*Sheet3!B249,"Not Found",,2),"")</f>
        <v/>
      </c>
      <c r="E249" t="str" cm="1">
        <f t="array" ref="E249">IF(Sheet3!A249&lt;&gt;"",_xlfn.XLOOKUP(Sheet3!A249,FoodTable[Food],FoodTable[Fats (g)]*B249,"Not Found",,2),"")</f>
        <v/>
      </c>
      <c r="F249" t="str" cm="1">
        <f t="array" ref="F249">IF(Sheet3!A249&lt;&gt;"",_xlfn.XLOOKUP(Sheet3!A249,FoodTable[Food],FoodTable[Proteins (g)]*B249,"Not Found",,2),"")</f>
        <v/>
      </c>
      <c r="G249" t="str" cm="1">
        <f t="array" ref="G249">IF(Sheet3!A249&lt;&gt;"",_xlfn.XLOOKUP(Sheet3!A249,FoodTable[Food],FoodTable[Fibers]*B249,"Not Found",,2),"")</f>
        <v/>
      </c>
      <c r="H249" t="str" cm="1">
        <f t="array" ref="H249">IF(Sheet3!A249&lt;&gt;"",_xlfn.XLOOKUP(Sheet3!A249,FoodTable[Food],FoodTable[Sugars]*B249,"Not Found",,2),"")</f>
        <v/>
      </c>
    </row>
    <row r="250" spans="2:8" x14ac:dyDescent="0.2">
      <c r="B250" t="str">
        <f t="shared" si="3"/>
        <v/>
      </c>
      <c r="C250" s="6" t="str">
        <f>IF(Sheet3!A250&lt;&gt;"",_xlfn.XLOOKUP(Sheet3!A250,FoodTable[Food],FoodTable[Per Unit],"Not Found",,2),"")</f>
        <v/>
      </c>
      <c r="D250" t="str" cm="1">
        <f t="array" ref="D250">IF(Sheet3!A250&lt;&gt;"",_xlfn.XLOOKUP(Sheet3!A250,FoodTable[Food],FoodTable[Calories (kcal)]*Sheet3!B250,"Not Found",,2),"")</f>
        <v/>
      </c>
      <c r="E250" t="str" cm="1">
        <f t="array" ref="E250">IF(Sheet3!A250&lt;&gt;"",_xlfn.XLOOKUP(Sheet3!A250,FoodTable[Food],FoodTable[Fats (g)]*B250,"Not Found",,2),"")</f>
        <v/>
      </c>
      <c r="F250" t="str" cm="1">
        <f t="array" ref="F250">IF(Sheet3!A250&lt;&gt;"",_xlfn.XLOOKUP(Sheet3!A250,FoodTable[Food],FoodTable[Proteins (g)]*B250,"Not Found",,2),"")</f>
        <v/>
      </c>
      <c r="G250" t="str" cm="1">
        <f t="array" ref="G250">IF(Sheet3!A250&lt;&gt;"",_xlfn.XLOOKUP(Sheet3!A250,FoodTable[Food],FoodTable[Fibers]*B250,"Not Found",,2),"")</f>
        <v/>
      </c>
      <c r="H250" t="str" cm="1">
        <f t="array" ref="H250">IF(Sheet3!A250&lt;&gt;"",_xlfn.XLOOKUP(Sheet3!A250,FoodTable[Food],FoodTable[Sugars]*B250,"Not Found",,2),"")</f>
        <v/>
      </c>
    </row>
    <row r="251" spans="2:8" x14ac:dyDescent="0.2">
      <c r="B251" t="str">
        <f t="shared" si="3"/>
        <v/>
      </c>
      <c r="C251" s="6" t="str">
        <f>IF(Sheet3!A251&lt;&gt;"",_xlfn.XLOOKUP(Sheet3!A251,FoodTable[Food],FoodTable[Per Unit],"Not Found",,2),"")</f>
        <v/>
      </c>
      <c r="D251" t="str" cm="1">
        <f t="array" ref="D251">IF(Sheet3!A251&lt;&gt;"",_xlfn.XLOOKUP(Sheet3!A251,FoodTable[Food],FoodTable[Calories (kcal)]*Sheet3!B251,"Not Found",,2),"")</f>
        <v/>
      </c>
      <c r="E251" t="str" cm="1">
        <f t="array" ref="E251">IF(Sheet3!A251&lt;&gt;"",_xlfn.XLOOKUP(Sheet3!A251,FoodTable[Food],FoodTable[Fats (g)]*B251,"Not Found",,2),"")</f>
        <v/>
      </c>
      <c r="F251" t="str" cm="1">
        <f t="array" ref="F251">IF(Sheet3!A251&lt;&gt;"",_xlfn.XLOOKUP(Sheet3!A251,FoodTable[Food],FoodTable[Proteins (g)]*B251,"Not Found",,2),"")</f>
        <v/>
      </c>
      <c r="G251" t="str" cm="1">
        <f t="array" ref="G251">IF(Sheet3!A251&lt;&gt;"",_xlfn.XLOOKUP(Sheet3!A251,FoodTable[Food],FoodTable[Fibers]*B251,"Not Found",,2),"")</f>
        <v/>
      </c>
      <c r="H251" t="str" cm="1">
        <f t="array" ref="H251">IF(Sheet3!A251&lt;&gt;"",_xlfn.XLOOKUP(Sheet3!A251,FoodTable[Food],FoodTable[Sugars]*B251,"Not Found",,2),"")</f>
        <v/>
      </c>
    </row>
    <row r="252" spans="2:8" x14ac:dyDescent="0.2">
      <c r="B252" t="str">
        <f t="shared" si="3"/>
        <v/>
      </c>
      <c r="C252" s="6" t="str">
        <f>IF(Sheet3!A252&lt;&gt;"",_xlfn.XLOOKUP(Sheet3!A252,FoodTable[Food],FoodTable[Per Unit],"Not Found",,2),"")</f>
        <v/>
      </c>
      <c r="D252" t="str" cm="1">
        <f t="array" ref="D252">IF(Sheet3!A252&lt;&gt;"",_xlfn.XLOOKUP(Sheet3!A252,FoodTable[Food],FoodTable[Calories (kcal)]*Sheet3!B252,"Not Found",,2),"")</f>
        <v/>
      </c>
      <c r="E252" t="str" cm="1">
        <f t="array" ref="E252">IF(Sheet3!A252&lt;&gt;"",_xlfn.XLOOKUP(Sheet3!A252,FoodTable[Food],FoodTable[Fats (g)]*B252,"Not Found",,2),"")</f>
        <v/>
      </c>
      <c r="F252" t="str" cm="1">
        <f t="array" ref="F252">IF(Sheet3!A252&lt;&gt;"",_xlfn.XLOOKUP(Sheet3!A252,FoodTable[Food],FoodTable[Proteins (g)]*B252,"Not Found",,2),"")</f>
        <v/>
      </c>
      <c r="G252" t="str" cm="1">
        <f t="array" ref="G252">IF(Sheet3!A252&lt;&gt;"",_xlfn.XLOOKUP(Sheet3!A252,FoodTable[Food],FoodTable[Fibers]*B252,"Not Found",,2),"")</f>
        <v/>
      </c>
      <c r="H252" t="str" cm="1">
        <f t="array" ref="H252">IF(Sheet3!A252&lt;&gt;"",_xlfn.XLOOKUP(Sheet3!A252,FoodTable[Food],FoodTable[Sugars]*B252,"Not Found",,2),"")</f>
        <v/>
      </c>
    </row>
    <row r="253" spans="2:8" x14ac:dyDescent="0.2">
      <c r="B253" t="str">
        <f t="shared" si="3"/>
        <v/>
      </c>
      <c r="C253" s="6" t="str">
        <f>IF(Sheet3!A253&lt;&gt;"",_xlfn.XLOOKUP(Sheet3!A253,FoodTable[Food],FoodTable[Per Unit],"Not Found",,2),"")</f>
        <v/>
      </c>
      <c r="D253" t="str" cm="1">
        <f t="array" ref="D253">IF(Sheet3!A253&lt;&gt;"",_xlfn.XLOOKUP(Sheet3!A253,FoodTable[Food],FoodTable[Calories (kcal)]*Sheet3!B253,"Not Found",,2),"")</f>
        <v/>
      </c>
      <c r="E253" t="str" cm="1">
        <f t="array" ref="E253">IF(Sheet3!A253&lt;&gt;"",_xlfn.XLOOKUP(Sheet3!A253,FoodTable[Food],FoodTable[Fats (g)]*B253,"Not Found",,2),"")</f>
        <v/>
      </c>
      <c r="F253" t="str" cm="1">
        <f t="array" ref="F253">IF(Sheet3!A253&lt;&gt;"",_xlfn.XLOOKUP(Sheet3!A253,FoodTable[Food],FoodTable[Proteins (g)]*B253,"Not Found",,2),"")</f>
        <v/>
      </c>
      <c r="G253" t="str" cm="1">
        <f t="array" ref="G253">IF(Sheet3!A253&lt;&gt;"",_xlfn.XLOOKUP(Sheet3!A253,FoodTable[Food],FoodTable[Fibers]*B253,"Not Found",,2),"")</f>
        <v/>
      </c>
      <c r="H253" t="str" cm="1">
        <f t="array" ref="H253">IF(Sheet3!A253&lt;&gt;"",_xlfn.XLOOKUP(Sheet3!A253,FoodTable[Food],FoodTable[Sugars]*B253,"Not Found",,2),"")</f>
        <v/>
      </c>
    </row>
    <row r="254" spans="2:8" x14ac:dyDescent="0.2">
      <c r="B254" t="str">
        <f t="shared" si="3"/>
        <v/>
      </c>
      <c r="C254" s="6" t="str">
        <f>IF(Sheet3!A254&lt;&gt;"",_xlfn.XLOOKUP(Sheet3!A254,FoodTable[Food],FoodTable[Per Unit],"Not Found",,2),"")</f>
        <v/>
      </c>
      <c r="D254" t="str" cm="1">
        <f t="array" ref="D254">IF(Sheet3!A254&lt;&gt;"",_xlfn.XLOOKUP(Sheet3!A254,FoodTable[Food],FoodTable[Calories (kcal)]*Sheet3!B254,"Not Found",,2),"")</f>
        <v/>
      </c>
      <c r="E254" t="str" cm="1">
        <f t="array" ref="E254">IF(Sheet3!A254&lt;&gt;"",_xlfn.XLOOKUP(Sheet3!A254,FoodTable[Food],FoodTable[Fats (g)]*B254,"Not Found",,2),"")</f>
        <v/>
      </c>
      <c r="F254" t="str" cm="1">
        <f t="array" ref="F254">IF(Sheet3!A254&lt;&gt;"",_xlfn.XLOOKUP(Sheet3!A254,FoodTable[Food],FoodTable[Proteins (g)]*B254,"Not Found",,2),"")</f>
        <v/>
      </c>
      <c r="G254" t="str" cm="1">
        <f t="array" ref="G254">IF(Sheet3!A254&lt;&gt;"",_xlfn.XLOOKUP(Sheet3!A254,FoodTable[Food],FoodTable[Fibers]*B254,"Not Found",,2),"")</f>
        <v/>
      </c>
      <c r="H254" t="str" cm="1">
        <f t="array" ref="H254">IF(Sheet3!A254&lt;&gt;"",_xlfn.XLOOKUP(Sheet3!A254,FoodTable[Food],FoodTable[Sugars]*B254,"Not Found",,2),"")</f>
        <v/>
      </c>
    </row>
    <row r="255" spans="2:8" x14ac:dyDescent="0.2">
      <c r="B255" t="str">
        <f t="shared" si="3"/>
        <v/>
      </c>
      <c r="C255" s="6" t="str">
        <f>IF(Sheet3!A255&lt;&gt;"",_xlfn.XLOOKUP(Sheet3!A255,FoodTable[Food],FoodTable[Per Unit],"Not Found",,2),"")</f>
        <v/>
      </c>
      <c r="D255" t="str" cm="1">
        <f t="array" ref="D255">IF(Sheet3!A255&lt;&gt;"",_xlfn.XLOOKUP(Sheet3!A255,FoodTable[Food],FoodTable[Calories (kcal)]*Sheet3!B255,"Not Found",,2),"")</f>
        <v/>
      </c>
      <c r="E255" t="str" cm="1">
        <f t="array" ref="E255">IF(Sheet3!A255&lt;&gt;"",_xlfn.XLOOKUP(Sheet3!A255,FoodTable[Food],FoodTable[Fats (g)]*B255,"Not Found",,2),"")</f>
        <v/>
      </c>
      <c r="F255" t="str" cm="1">
        <f t="array" ref="F255">IF(Sheet3!A255&lt;&gt;"",_xlfn.XLOOKUP(Sheet3!A255,FoodTable[Food],FoodTable[Proteins (g)]*B255,"Not Found",,2),"")</f>
        <v/>
      </c>
      <c r="G255" t="str" cm="1">
        <f t="array" ref="G255">IF(Sheet3!A255&lt;&gt;"",_xlfn.XLOOKUP(Sheet3!A255,FoodTable[Food],FoodTable[Fibers]*B255,"Not Found",,2),"")</f>
        <v/>
      </c>
      <c r="H255" t="str" cm="1">
        <f t="array" ref="H255">IF(Sheet3!A255&lt;&gt;"",_xlfn.XLOOKUP(Sheet3!A255,FoodTable[Food],FoodTable[Sugars]*B255,"Not Found",,2),"")</f>
        <v/>
      </c>
    </row>
    <row r="256" spans="2:8" x14ac:dyDescent="0.2">
      <c r="B256" t="str">
        <f t="shared" si="3"/>
        <v/>
      </c>
      <c r="C256" s="6" t="str">
        <f>IF(Sheet3!A256&lt;&gt;"",_xlfn.XLOOKUP(Sheet3!A256,FoodTable[Food],FoodTable[Per Unit],"Not Found",,2),"")</f>
        <v/>
      </c>
      <c r="D256" t="str" cm="1">
        <f t="array" ref="D256">IF(Sheet3!A256&lt;&gt;"",_xlfn.XLOOKUP(Sheet3!A256,FoodTable[Food],FoodTable[Calories (kcal)]*Sheet3!B256,"Not Found",,2),"")</f>
        <v/>
      </c>
      <c r="E256" t="str" cm="1">
        <f t="array" ref="E256">IF(Sheet3!A256&lt;&gt;"",_xlfn.XLOOKUP(Sheet3!A256,FoodTable[Food],FoodTable[Fats (g)]*B256,"Not Found",,2),"")</f>
        <v/>
      </c>
      <c r="F256" t="str" cm="1">
        <f t="array" ref="F256">IF(Sheet3!A256&lt;&gt;"",_xlfn.XLOOKUP(Sheet3!A256,FoodTable[Food],FoodTable[Proteins (g)]*B256,"Not Found",,2),"")</f>
        <v/>
      </c>
      <c r="G256" t="str" cm="1">
        <f t="array" ref="G256">IF(Sheet3!A256&lt;&gt;"",_xlfn.XLOOKUP(Sheet3!A256,FoodTable[Food],FoodTable[Fibers]*B256,"Not Found",,2),"")</f>
        <v/>
      </c>
      <c r="H256" t="str" cm="1">
        <f t="array" ref="H256">IF(Sheet3!A256&lt;&gt;"",_xlfn.XLOOKUP(Sheet3!A256,FoodTable[Food],FoodTable[Sugars]*B256,"Not Found",,2),"")</f>
        <v/>
      </c>
    </row>
    <row r="257" spans="2:8" x14ac:dyDescent="0.2">
      <c r="B257" t="str">
        <f t="shared" si="3"/>
        <v/>
      </c>
      <c r="C257" s="6" t="str">
        <f>IF(Sheet3!A257&lt;&gt;"",_xlfn.XLOOKUP(Sheet3!A257,FoodTable[Food],FoodTable[Per Unit],"Not Found",,2),"")</f>
        <v/>
      </c>
      <c r="D257" t="str" cm="1">
        <f t="array" ref="D257">IF(Sheet3!A257&lt;&gt;"",_xlfn.XLOOKUP(Sheet3!A257,FoodTable[Food],FoodTable[Calories (kcal)]*Sheet3!B257,"Not Found",,2),"")</f>
        <v/>
      </c>
      <c r="E257" t="str" cm="1">
        <f t="array" ref="E257">IF(Sheet3!A257&lt;&gt;"",_xlfn.XLOOKUP(Sheet3!A257,FoodTable[Food],FoodTable[Fats (g)]*B257,"Not Found",,2),"")</f>
        <v/>
      </c>
      <c r="F257" t="str" cm="1">
        <f t="array" ref="F257">IF(Sheet3!A257&lt;&gt;"",_xlfn.XLOOKUP(Sheet3!A257,FoodTable[Food],FoodTable[Proteins (g)]*B257,"Not Found",,2),"")</f>
        <v/>
      </c>
      <c r="G257" t="str" cm="1">
        <f t="array" ref="G257">IF(Sheet3!A257&lt;&gt;"",_xlfn.XLOOKUP(Sheet3!A257,FoodTable[Food],FoodTable[Fibers]*B257,"Not Found",,2),"")</f>
        <v/>
      </c>
      <c r="H257" t="str" cm="1">
        <f t="array" ref="H257">IF(Sheet3!A257&lt;&gt;"",_xlfn.XLOOKUP(Sheet3!A257,FoodTable[Food],FoodTable[Sugars]*B257,"Not Found",,2),"")</f>
        <v/>
      </c>
    </row>
    <row r="258" spans="2:8" x14ac:dyDescent="0.2">
      <c r="B258" t="str">
        <f t="shared" si="3"/>
        <v/>
      </c>
      <c r="C258" s="6" t="str">
        <f>IF(Sheet3!A258&lt;&gt;"",_xlfn.XLOOKUP(Sheet3!A258,FoodTable[Food],FoodTable[Per Unit],"Not Found",,2),"")</f>
        <v/>
      </c>
      <c r="D258" t="str" cm="1">
        <f t="array" ref="D258">IF(Sheet3!A258&lt;&gt;"",_xlfn.XLOOKUP(Sheet3!A258,FoodTable[Food],FoodTable[Calories (kcal)]*Sheet3!B258,"Not Found",,2),"")</f>
        <v/>
      </c>
      <c r="E258" t="str" cm="1">
        <f t="array" ref="E258">IF(Sheet3!A258&lt;&gt;"",_xlfn.XLOOKUP(Sheet3!A258,FoodTable[Food],FoodTable[Fats (g)]*B258,"Not Found",,2),"")</f>
        <v/>
      </c>
      <c r="F258" t="str" cm="1">
        <f t="array" ref="F258">IF(Sheet3!A258&lt;&gt;"",_xlfn.XLOOKUP(Sheet3!A258,FoodTable[Food],FoodTable[Proteins (g)]*B258,"Not Found",,2),"")</f>
        <v/>
      </c>
      <c r="G258" t="str" cm="1">
        <f t="array" ref="G258">IF(Sheet3!A258&lt;&gt;"",_xlfn.XLOOKUP(Sheet3!A258,FoodTable[Food],FoodTable[Fibers]*B258,"Not Found",,2),"")</f>
        <v/>
      </c>
      <c r="H258" t="str" cm="1">
        <f t="array" ref="H258">IF(Sheet3!A258&lt;&gt;"",_xlfn.XLOOKUP(Sheet3!A258,FoodTable[Food],FoodTable[Sugars]*B258,"Not Found",,2),"")</f>
        <v/>
      </c>
    </row>
    <row r="259" spans="2:8" x14ac:dyDescent="0.2">
      <c r="B259" t="str">
        <f t="shared" si="3"/>
        <v/>
      </c>
      <c r="C259" s="6" t="str">
        <f>IF(Sheet3!A259&lt;&gt;"",_xlfn.XLOOKUP(Sheet3!A259,FoodTable[Food],FoodTable[Per Unit],"Not Found",,2),"")</f>
        <v/>
      </c>
      <c r="D259" t="str" cm="1">
        <f t="array" ref="D259">IF(Sheet3!A259&lt;&gt;"",_xlfn.XLOOKUP(Sheet3!A259,FoodTable[Food],FoodTable[Calories (kcal)]*Sheet3!B259,"Not Found",,2),"")</f>
        <v/>
      </c>
      <c r="E259" t="str" cm="1">
        <f t="array" ref="E259">IF(Sheet3!A259&lt;&gt;"",_xlfn.XLOOKUP(Sheet3!A259,FoodTable[Food],FoodTable[Fats (g)]*B259,"Not Found",,2),"")</f>
        <v/>
      </c>
      <c r="F259" t="str" cm="1">
        <f t="array" ref="F259">IF(Sheet3!A259&lt;&gt;"",_xlfn.XLOOKUP(Sheet3!A259,FoodTable[Food],FoodTable[Proteins (g)]*B259,"Not Found",,2),"")</f>
        <v/>
      </c>
      <c r="G259" t="str" cm="1">
        <f t="array" ref="G259">IF(Sheet3!A259&lt;&gt;"",_xlfn.XLOOKUP(Sheet3!A259,FoodTable[Food],FoodTable[Fibers]*B259,"Not Found",,2),"")</f>
        <v/>
      </c>
      <c r="H259" t="str" cm="1">
        <f t="array" ref="H259">IF(Sheet3!A259&lt;&gt;"",_xlfn.XLOOKUP(Sheet3!A259,FoodTable[Food],FoodTable[Sugars]*B259,"Not Found",,2),"")</f>
        <v/>
      </c>
    </row>
    <row r="260" spans="2:8" x14ac:dyDescent="0.2">
      <c r="B260" t="str">
        <f t="shared" ref="B260:B323" si="4">IF(A260&lt;&gt;"",1,"")</f>
        <v/>
      </c>
      <c r="C260" s="6" t="str">
        <f>IF(Sheet3!A260&lt;&gt;"",_xlfn.XLOOKUP(Sheet3!A260,FoodTable[Food],FoodTable[Per Unit],"Not Found",,2),"")</f>
        <v/>
      </c>
      <c r="D260" t="str" cm="1">
        <f t="array" ref="D260">IF(Sheet3!A260&lt;&gt;"",_xlfn.XLOOKUP(Sheet3!A260,FoodTable[Food],FoodTable[Calories (kcal)]*Sheet3!B260,"Not Found",,2),"")</f>
        <v/>
      </c>
      <c r="E260" t="str" cm="1">
        <f t="array" ref="E260">IF(Sheet3!A260&lt;&gt;"",_xlfn.XLOOKUP(Sheet3!A260,FoodTable[Food],FoodTable[Fats (g)]*B260,"Not Found",,2),"")</f>
        <v/>
      </c>
      <c r="F260" t="str" cm="1">
        <f t="array" ref="F260">IF(Sheet3!A260&lt;&gt;"",_xlfn.XLOOKUP(Sheet3!A260,FoodTable[Food],FoodTable[Proteins (g)]*B260,"Not Found",,2),"")</f>
        <v/>
      </c>
      <c r="G260" t="str" cm="1">
        <f t="array" ref="G260">IF(Sheet3!A260&lt;&gt;"",_xlfn.XLOOKUP(Sheet3!A260,FoodTable[Food],FoodTable[Fibers]*B260,"Not Found",,2),"")</f>
        <v/>
      </c>
      <c r="H260" t="str" cm="1">
        <f t="array" ref="H260">IF(Sheet3!A260&lt;&gt;"",_xlfn.XLOOKUP(Sheet3!A260,FoodTable[Food],FoodTable[Sugars]*B260,"Not Found",,2),"")</f>
        <v/>
      </c>
    </row>
    <row r="261" spans="2:8" x14ac:dyDescent="0.2">
      <c r="B261" t="str">
        <f t="shared" si="4"/>
        <v/>
      </c>
      <c r="C261" s="6" t="str">
        <f>IF(Sheet3!A261&lt;&gt;"",_xlfn.XLOOKUP(Sheet3!A261,FoodTable[Food],FoodTable[Per Unit],"Not Found",,2),"")</f>
        <v/>
      </c>
      <c r="D261" t="str" cm="1">
        <f t="array" ref="D261">IF(Sheet3!A261&lt;&gt;"",_xlfn.XLOOKUP(Sheet3!A261,FoodTable[Food],FoodTable[Calories (kcal)]*Sheet3!B261,"Not Found",,2),"")</f>
        <v/>
      </c>
      <c r="E261" t="str" cm="1">
        <f t="array" ref="E261">IF(Sheet3!A261&lt;&gt;"",_xlfn.XLOOKUP(Sheet3!A261,FoodTable[Food],FoodTable[Fats (g)]*B261,"Not Found",,2),"")</f>
        <v/>
      </c>
      <c r="F261" t="str" cm="1">
        <f t="array" ref="F261">IF(Sheet3!A261&lt;&gt;"",_xlfn.XLOOKUP(Sheet3!A261,FoodTable[Food],FoodTable[Proteins (g)]*B261,"Not Found",,2),"")</f>
        <v/>
      </c>
      <c r="G261" t="str" cm="1">
        <f t="array" ref="G261">IF(Sheet3!A261&lt;&gt;"",_xlfn.XLOOKUP(Sheet3!A261,FoodTable[Food],FoodTable[Fibers]*B261,"Not Found",,2),"")</f>
        <v/>
      </c>
      <c r="H261" t="str" cm="1">
        <f t="array" ref="H261">IF(Sheet3!A261&lt;&gt;"",_xlfn.XLOOKUP(Sheet3!A261,FoodTable[Food],FoodTable[Sugars]*B261,"Not Found",,2),"")</f>
        <v/>
      </c>
    </row>
    <row r="262" spans="2:8" x14ac:dyDescent="0.2">
      <c r="B262" t="str">
        <f t="shared" si="4"/>
        <v/>
      </c>
      <c r="C262" s="6" t="str">
        <f>IF(Sheet3!A262&lt;&gt;"",_xlfn.XLOOKUP(Sheet3!A262,FoodTable[Food],FoodTable[Per Unit],"Not Found",,2),"")</f>
        <v/>
      </c>
      <c r="D262" t="str" cm="1">
        <f t="array" ref="D262">IF(Sheet3!A262&lt;&gt;"",_xlfn.XLOOKUP(Sheet3!A262,FoodTable[Food],FoodTable[Calories (kcal)]*Sheet3!B262,"Not Found",,2),"")</f>
        <v/>
      </c>
      <c r="E262" t="str" cm="1">
        <f t="array" ref="E262">IF(Sheet3!A262&lt;&gt;"",_xlfn.XLOOKUP(Sheet3!A262,FoodTable[Food],FoodTable[Fats (g)]*B262,"Not Found",,2),"")</f>
        <v/>
      </c>
      <c r="F262" t="str" cm="1">
        <f t="array" ref="F262">IF(Sheet3!A262&lt;&gt;"",_xlfn.XLOOKUP(Sheet3!A262,FoodTable[Food],FoodTable[Proteins (g)]*B262,"Not Found",,2),"")</f>
        <v/>
      </c>
      <c r="G262" t="str" cm="1">
        <f t="array" ref="G262">IF(Sheet3!A262&lt;&gt;"",_xlfn.XLOOKUP(Sheet3!A262,FoodTable[Food],FoodTable[Fibers]*B262,"Not Found",,2),"")</f>
        <v/>
      </c>
      <c r="H262" t="str" cm="1">
        <f t="array" ref="H262">IF(Sheet3!A262&lt;&gt;"",_xlfn.XLOOKUP(Sheet3!A262,FoodTable[Food],FoodTable[Sugars]*B262,"Not Found",,2),"")</f>
        <v/>
      </c>
    </row>
    <row r="263" spans="2:8" x14ac:dyDescent="0.2">
      <c r="B263" t="str">
        <f t="shared" si="4"/>
        <v/>
      </c>
      <c r="C263" s="6" t="str">
        <f>IF(Sheet3!A263&lt;&gt;"",_xlfn.XLOOKUP(Sheet3!A263,FoodTable[Food],FoodTable[Per Unit],"Not Found",,2),"")</f>
        <v/>
      </c>
      <c r="D263" t="str" cm="1">
        <f t="array" ref="D263">IF(Sheet3!A263&lt;&gt;"",_xlfn.XLOOKUP(Sheet3!A263,FoodTable[Food],FoodTable[Calories (kcal)]*Sheet3!B263,"Not Found",,2),"")</f>
        <v/>
      </c>
      <c r="E263" t="str" cm="1">
        <f t="array" ref="E263">IF(Sheet3!A263&lt;&gt;"",_xlfn.XLOOKUP(Sheet3!A263,FoodTable[Food],FoodTable[Fats (g)]*B263,"Not Found",,2),"")</f>
        <v/>
      </c>
      <c r="F263" t="str" cm="1">
        <f t="array" ref="F263">IF(Sheet3!A263&lt;&gt;"",_xlfn.XLOOKUP(Sheet3!A263,FoodTable[Food],FoodTable[Proteins (g)]*B263,"Not Found",,2),"")</f>
        <v/>
      </c>
      <c r="G263" t="str" cm="1">
        <f t="array" ref="G263">IF(Sheet3!A263&lt;&gt;"",_xlfn.XLOOKUP(Sheet3!A263,FoodTable[Food],FoodTable[Fibers]*B263,"Not Found",,2),"")</f>
        <v/>
      </c>
      <c r="H263" t="str" cm="1">
        <f t="array" ref="H263">IF(Sheet3!A263&lt;&gt;"",_xlfn.XLOOKUP(Sheet3!A263,FoodTable[Food],FoodTable[Sugars]*B263,"Not Found",,2),"")</f>
        <v/>
      </c>
    </row>
    <row r="264" spans="2:8" x14ac:dyDescent="0.2">
      <c r="B264" t="str">
        <f t="shared" si="4"/>
        <v/>
      </c>
      <c r="C264" s="6" t="str">
        <f>IF(Sheet3!A264&lt;&gt;"",_xlfn.XLOOKUP(Sheet3!A264,FoodTable[Food],FoodTable[Per Unit],"Not Found",,2),"")</f>
        <v/>
      </c>
      <c r="D264" t="str" cm="1">
        <f t="array" ref="D264">IF(Sheet3!A264&lt;&gt;"",_xlfn.XLOOKUP(Sheet3!A264,FoodTable[Food],FoodTable[Calories (kcal)]*Sheet3!B264,"Not Found",,2),"")</f>
        <v/>
      </c>
      <c r="E264" t="str" cm="1">
        <f t="array" ref="E264">IF(Sheet3!A264&lt;&gt;"",_xlfn.XLOOKUP(Sheet3!A264,FoodTable[Food],FoodTable[Fats (g)]*B264,"Not Found",,2),"")</f>
        <v/>
      </c>
      <c r="F264" t="str" cm="1">
        <f t="array" ref="F264">IF(Sheet3!A264&lt;&gt;"",_xlfn.XLOOKUP(Sheet3!A264,FoodTable[Food],FoodTable[Proteins (g)]*B264,"Not Found",,2),"")</f>
        <v/>
      </c>
      <c r="G264" t="str" cm="1">
        <f t="array" ref="G264">IF(Sheet3!A264&lt;&gt;"",_xlfn.XLOOKUP(Sheet3!A264,FoodTable[Food],FoodTable[Fibers]*B264,"Not Found",,2),"")</f>
        <v/>
      </c>
      <c r="H264" t="str" cm="1">
        <f t="array" ref="H264">IF(Sheet3!A264&lt;&gt;"",_xlfn.XLOOKUP(Sheet3!A264,FoodTable[Food],FoodTable[Sugars]*B264,"Not Found",,2),"")</f>
        <v/>
      </c>
    </row>
    <row r="265" spans="2:8" x14ac:dyDescent="0.2">
      <c r="B265" t="str">
        <f t="shared" si="4"/>
        <v/>
      </c>
      <c r="C265" s="6" t="str">
        <f>IF(Sheet3!A265&lt;&gt;"",_xlfn.XLOOKUP(Sheet3!A265,FoodTable[Food],FoodTable[Per Unit],"Not Found",,2),"")</f>
        <v/>
      </c>
      <c r="D265" t="str" cm="1">
        <f t="array" ref="D265">IF(Sheet3!A265&lt;&gt;"",_xlfn.XLOOKUP(Sheet3!A265,FoodTable[Food],FoodTable[Calories (kcal)]*Sheet3!B265,"Not Found",,2),"")</f>
        <v/>
      </c>
      <c r="E265" t="str" cm="1">
        <f t="array" ref="E265">IF(Sheet3!A265&lt;&gt;"",_xlfn.XLOOKUP(Sheet3!A265,FoodTable[Food],FoodTable[Fats (g)]*B265,"Not Found",,2),"")</f>
        <v/>
      </c>
      <c r="F265" t="str" cm="1">
        <f t="array" ref="F265">IF(Sheet3!A265&lt;&gt;"",_xlfn.XLOOKUP(Sheet3!A265,FoodTable[Food],FoodTable[Proteins (g)]*B265,"Not Found",,2),"")</f>
        <v/>
      </c>
      <c r="G265" t="str" cm="1">
        <f t="array" ref="G265">IF(Sheet3!A265&lt;&gt;"",_xlfn.XLOOKUP(Sheet3!A265,FoodTable[Food],FoodTable[Fibers]*B265,"Not Found",,2),"")</f>
        <v/>
      </c>
      <c r="H265" t="str" cm="1">
        <f t="array" ref="H265">IF(Sheet3!A265&lt;&gt;"",_xlfn.XLOOKUP(Sheet3!A265,FoodTable[Food],FoodTable[Sugars]*B265,"Not Found",,2),"")</f>
        <v/>
      </c>
    </row>
    <row r="266" spans="2:8" x14ac:dyDescent="0.2">
      <c r="B266" t="str">
        <f t="shared" si="4"/>
        <v/>
      </c>
      <c r="C266" s="6" t="str">
        <f>IF(Sheet3!A266&lt;&gt;"",_xlfn.XLOOKUP(Sheet3!A266,FoodTable[Food],FoodTable[Per Unit],"Not Found",,2),"")</f>
        <v/>
      </c>
      <c r="D266" t="str" cm="1">
        <f t="array" ref="D266">IF(Sheet3!A266&lt;&gt;"",_xlfn.XLOOKUP(Sheet3!A266,FoodTable[Food],FoodTable[Calories (kcal)]*Sheet3!B266,"Not Found",,2),"")</f>
        <v/>
      </c>
      <c r="E266" t="str" cm="1">
        <f t="array" ref="E266">IF(Sheet3!A266&lt;&gt;"",_xlfn.XLOOKUP(Sheet3!A266,FoodTable[Food],FoodTable[Fats (g)]*B266,"Not Found",,2),"")</f>
        <v/>
      </c>
      <c r="F266" t="str" cm="1">
        <f t="array" ref="F266">IF(Sheet3!A266&lt;&gt;"",_xlfn.XLOOKUP(Sheet3!A266,FoodTable[Food],FoodTable[Proteins (g)]*B266,"Not Found",,2),"")</f>
        <v/>
      </c>
      <c r="G266" t="str" cm="1">
        <f t="array" ref="G266">IF(Sheet3!A266&lt;&gt;"",_xlfn.XLOOKUP(Sheet3!A266,FoodTable[Food],FoodTable[Fibers]*B266,"Not Found",,2),"")</f>
        <v/>
      </c>
      <c r="H266" t="str" cm="1">
        <f t="array" ref="H266">IF(Sheet3!A266&lt;&gt;"",_xlfn.XLOOKUP(Sheet3!A266,FoodTable[Food],FoodTable[Sugars]*B266,"Not Found",,2),"")</f>
        <v/>
      </c>
    </row>
    <row r="267" spans="2:8" x14ac:dyDescent="0.2">
      <c r="B267" t="str">
        <f t="shared" si="4"/>
        <v/>
      </c>
      <c r="C267" s="6" t="str">
        <f>IF(Sheet3!A267&lt;&gt;"",_xlfn.XLOOKUP(Sheet3!A267,FoodTable[Food],FoodTable[Per Unit],"Not Found",,2),"")</f>
        <v/>
      </c>
      <c r="D267" t="str" cm="1">
        <f t="array" ref="D267">IF(Sheet3!A267&lt;&gt;"",_xlfn.XLOOKUP(Sheet3!A267,FoodTable[Food],FoodTable[Calories (kcal)]*Sheet3!B267,"Not Found",,2),"")</f>
        <v/>
      </c>
      <c r="E267" t="str" cm="1">
        <f t="array" ref="E267">IF(Sheet3!A267&lt;&gt;"",_xlfn.XLOOKUP(Sheet3!A267,FoodTable[Food],FoodTable[Fats (g)]*B267,"Not Found",,2),"")</f>
        <v/>
      </c>
      <c r="F267" t="str" cm="1">
        <f t="array" ref="F267">IF(Sheet3!A267&lt;&gt;"",_xlfn.XLOOKUP(Sheet3!A267,FoodTable[Food],FoodTable[Proteins (g)]*B267,"Not Found",,2),"")</f>
        <v/>
      </c>
      <c r="G267" t="str" cm="1">
        <f t="array" ref="G267">IF(Sheet3!A267&lt;&gt;"",_xlfn.XLOOKUP(Sheet3!A267,FoodTable[Food],FoodTable[Fibers]*B267,"Not Found",,2),"")</f>
        <v/>
      </c>
      <c r="H267" t="str" cm="1">
        <f t="array" ref="H267">IF(Sheet3!A267&lt;&gt;"",_xlfn.XLOOKUP(Sheet3!A267,FoodTable[Food],FoodTable[Sugars]*B267,"Not Found",,2),"")</f>
        <v/>
      </c>
    </row>
    <row r="268" spans="2:8" x14ac:dyDescent="0.2">
      <c r="B268" t="str">
        <f t="shared" si="4"/>
        <v/>
      </c>
      <c r="C268" s="6" t="str">
        <f>IF(Sheet3!A268&lt;&gt;"",_xlfn.XLOOKUP(Sheet3!A268,FoodTable[Food],FoodTable[Per Unit],"Not Found",,2),"")</f>
        <v/>
      </c>
      <c r="D268" t="str" cm="1">
        <f t="array" ref="D268">IF(Sheet3!A268&lt;&gt;"",_xlfn.XLOOKUP(Sheet3!A268,FoodTable[Food],FoodTable[Calories (kcal)]*Sheet3!B268,"Not Found",,2),"")</f>
        <v/>
      </c>
      <c r="E268" t="str" cm="1">
        <f t="array" ref="E268">IF(Sheet3!A268&lt;&gt;"",_xlfn.XLOOKUP(Sheet3!A268,FoodTable[Food],FoodTable[Fats (g)]*B268,"Not Found",,2),"")</f>
        <v/>
      </c>
      <c r="F268" t="str" cm="1">
        <f t="array" ref="F268">IF(Sheet3!A268&lt;&gt;"",_xlfn.XLOOKUP(Sheet3!A268,FoodTable[Food],FoodTable[Proteins (g)]*B268,"Not Found",,2),"")</f>
        <v/>
      </c>
      <c r="G268" t="str" cm="1">
        <f t="array" ref="G268">IF(Sheet3!A268&lt;&gt;"",_xlfn.XLOOKUP(Sheet3!A268,FoodTable[Food],FoodTable[Fibers]*B268,"Not Found",,2),"")</f>
        <v/>
      </c>
      <c r="H268" t="str" cm="1">
        <f t="array" ref="H268">IF(Sheet3!A268&lt;&gt;"",_xlfn.XLOOKUP(Sheet3!A268,FoodTable[Food],FoodTable[Sugars]*B268,"Not Found",,2),"")</f>
        <v/>
      </c>
    </row>
    <row r="269" spans="2:8" x14ac:dyDescent="0.2">
      <c r="B269" t="str">
        <f t="shared" si="4"/>
        <v/>
      </c>
      <c r="C269" s="6" t="str">
        <f>IF(Sheet3!A269&lt;&gt;"",_xlfn.XLOOKUP(Sheet3!A269,FoodTable[Food],FoodTable[Per Unit],"Not Found",,2),"")</f>
        <v/>
      </c>
      <c r="D269" t="str" cm="1">
        <f t="array" ref="D269">IF(Sheet3!A269&lt;&gt;"",_xlfn.XLOOKUP(Sheet3!A269,FoodTable[Food],FoodTable[Calories (kcal)]*Sheet3!B269,"Not Found",,2),"")</f>
        <v/>
      </c>
      <c r="E269" t="str" cm="1">
        <f t="array" ref="E269">IF(Sheet3!A269&lt;&gt;"",_xlfn.XLOOKUP(Sheet3!A269,FoodTable[Food],FoodTable[Fats (g)]*B269,"Not Found",,2),"")</f>
        <v/>
      </c>
      <c r="F269" t="str" cm="1">
        <f t="array" ref="F269">IF(Sheet3!A269&lt;&gt;"",_xlfn.XLOOKUP(Sheet3!A269,FoodTable[Food],FoodTable[Proteins (g)]*B269,"Not Found",,2),"")</f>
        <v/>
      </c>
      <c r="G269" t="str" cm="1">
        <f t="array" ref="G269">IF(Sheet3!A269&lt;&gt;"",_xlfn.XLOOKUP(Sheet3!A269,FoodTable[Food],FoodTable[Fibers]*B269,"Not Found",,2),"")</f>
        <v/>
      </c>
      <c r="H269" t="str" cm="1">
        <f t="array" ref="H269">IF(Sheet3!A269&lt;&gt;"",_xlfn.XLOOKUP(Sheet3!A269,FoodTable[Food],FoodTable[Sugars]*B269,"Not Found",,2),"")</f>
        <v/>
      </c>
    </row>
    <row r="270" spans="2:8" x14ac:dyDescent="0.2">
      <c r="B270" t="str">
        <f t="shared" si="4"/>
        <v/>
      </c>
      <c r="C270" s="6" t="str">
        <f>IF(Sheet3!A270&lt;&gt;"",_xlfn.XLOOKUP(Sheet3!A270,FoodTable[Food],FoodTable[Per Unit],"Not Found",,2),"")</f>
        <v/>
      </c>
      <c r="D270" t="str" cm="1">
        <f t="array" ref="D270">IF(Sheet3!A270&lt;&gt;"",_xlfn.XLOOKUP(Sheet3!A270,FoodTable[Food],FoodTable[Calories (kcal)]*Sheet3!B270,"Not Found",,2),"")</f>
        <v/>
      </c>
      <c r="E270" t="str" cm="1">
        <f t="array" ref="E270">IF(Sheet3!A270&lt;&gt;"",_xlfn.XLOOKUP(Sheet3!A270,FoodTable[Food],FoodTable[Fats (g)]*B270,"Not Found",,2),"")</f>
        <v/>
      </c>
      <c r="F270" t="str" cm="1">
        <f t="array" ref="F270">IF(Sheet3!A270&lt;&gt;"",_xlfn.XLOOKUP(Sheet3!A270,FoodTable[Food],FoodTable[Proteins (g)]*B270,"Not Found",,2),"")</f>
        <v/>
      </c>
      <c r="G270" t="str" cm="1">
        <f t="array" ref="G270">IF(Sheet3!A270&lt;&gt;"",_xlfn.XLOOKUP(Sheet3!A270,FoodTable[Food],FoodTable[Fibers]*B270,"Not Found",,2),"")</f>
        <v/>
      </c>
      <c r="H270" t="str" cm="1">
        <f t="array" ref="H270">IF(Sheet3!A270&lt;&gt;"",_xlfn.XLOOKUP(Sheet3!A270,FoodTable[Food],FoodTable[Sugars]*B270,"Not Found",,2),"")</f>
        <v/>
      </c>
    </row>
    <row r="271" spans="2:8" x14ac:dyDescent="0.2">
      <c r="B271" t="str">
        <f t="shared" si="4"/>
        <v/>
      </c>
      <c r="C271" s="6" t="str">
        <f>IF(Sheet3!A271&lt;&gt;"",_xlfn.XLOOKUP(Sheet3!A271,FoodTable[Food],FoodTable[Per Unit],"Not Found",,2),"")</f>
        <v/>
      </c>
      <c r="D271" t="str" cm="1">
        <f t="array" ref="D271">IF(Sheet3!A271&lt;&gt;"",_xlfn.XLOOKUP(Sheet3!A271,FoodTable[Food],FoodTable[Calories (kcal)]*Sheet3!B271,"Not Found",,2),"")</f>
        <v/>
      </c>
      <c r="E271" t="str" cm="1">
        <f t="array" ref="E271">IF(Sheet3!A271&lt;&gt;"",_xlfn.XLOOKUP(Sheet3!A271,FoodTable[Food],FoodTable[Fats (g)]*B271,"Not Found",,2),"")</f>
        <v/>
      </c>
      <c r="F271" t="str" cm="1">
        <f t="array" ref="F271">IF(Sheet3!A271&lt;&gt;"",_xlfn.XLOOKUP(Sheet3!A271,FoodTable[Food],FoodTable[Proteins (g)]*B271,"Not Found",,2),"")</f>
        <v/>
      </c>
      <c r="G271" t="str" cm="1">
        <f t="array" ref="G271">IF(Sheet3!A271&lt;&gt;"",_xlfn.XLOOKUP(Sheet3!A271,FoodTable[Food],FoodTable[Fibers]*B271,"Not Found",,2),"")</f>
        <v/>
      </c>
      <c r="H271" t="str" cm="1">
        <f t="array" ref="H271">IF(Sheet3!A271&lt;&gt;"",_xlfn.XLOOKUP(Sheet3!A271,FoodTable[Food],FoodTable[Sugars]*B271,"Not Found",,2),"")</f>
        <v/>
      </c>
    </row>
    <row r="272" spans="2:8" x14ac:dyDescent="0.2">
      <c r="B272" t="str">
        <f t="shared" si="4"/>
        <v/>
      </c>
      <c r="C272" s="6" t="str">
        <f>IF(Sheet3!A272&lt;&gt;"",_xlfn.XLOOKUP(Sheet3!A272,FoodTable[Food],FoodTable[Per Unit],"Not Found",,2),"")</f>
        <v/>
      </c>
      <c r="D272" t="str" cm="1">
        <f t="array" ref="D272">IF(Sheet3!A272&lt;&gt;"",_xlfn.XLOOKUP(Sheet3!A272,FoodTable[Food],FoodTable[Calories (kcal)]*Sheet3!B272,"Not Found",,2),"")</f>
        <v/>
      </c>
      <c r="E272" t="str" cm="1">
        <f t="array" ref="E272">IF(Sheet3!A272&lt;&gt;"",_xlfn.XLOOKUP(Sheet3!A272,FoodTable[Food],FoodTable[Fats (g)]*B272,"Not Found",,2),"")</f>
        <v/>
      </c>
      <c r="F272" t="str" cm="1">
        <f t="array" ref="F272">IF(Sheet3!A272&lt;&gt;"",_xlfn.XLOOKUP(Sheet3!A272,FoodTable[Food],FoodTable[Proteins (g)]*B272,"Not Found",,2),"")</f>
        <v/>
      </c>
      <c r="G272" t="str" cm="1">
        <f t="array" ref="G272">IF(Sheet3!A272&lt;&gt;"",_xlfn.XLOOKUP(Sheet3!A272,FoodTable[Food],FoodTable[Fibers]*B272,"Not Found",,2),"")</f>
        <v/>
      </c>
      <c r="H272" t="str" cm="1">
        <f t="array" ref="H272">IF(Sheet3!A272&lt;&gt;"",_xlfn.XLOOKUP(Sheet3!A272,FoodTable[Food],FoodTable[Sugars]*B272,"Not Found",,2),"")</f>
        <v/>
      </c>
    </row>
    <row r="273" spans="2:8" x14ac:dyDescent="0.2">
      <c r="B273" t="str">
        <f t="shared" si="4"/>
        <v/>
      </c>
      <c r="C273" s="6" t="str">
        <f>IF(Sheet3!A273&lt;&gt;"",_xlfn.XLOOKUP(Sheet3!A273,FoodTable[Food],FoodTable[Per Unit],"Not Found",,2),"")</f>
        <v/>
      </c>
      <c r="D273" t="str" cm="1">
        <f t="array" ref="D273">IF(Sheet3!A273&lt;&gt;"",_xlfn.XLOOKUP(Sheet3!A273,FoodTable[Food],FoodTable[Calories (kcal)]*Sheet3!B273,"Not Found",,2),"")</f>
        <v/>
      </c>
      <c r="E273" t="str" cm="1">
        <f t="array" ref="E273">IF(Sheet3!A273&lt;&gt;"",_xlfn.XLOOKUP(Sheet3!A273,FoodTable[Food],FoodTable[Fats (g)]*B273,"Not Found",,2),"")</f>
        <v/>
      </c>
      <c r="F273" t="str" cm="1">
        <f t="array" ref="F273">IF(Sheet3!A273&lt;&gt;"",_xlfn.XLOOKUP(Sheet3!A273,FoodTable[Food],FoodTable[Proteins (g)]*B273,"Not Found",,2),"")</f>
        <v/>
      </c>
      <c r="G273" t="str" cm="1">
        <f t="array" ref="G273">IF(Sheet3!A273&lt;&gt;"",_xlfn.XLOOKUP(Sheet3!A273,FoodTable[Food],FoodTable[Fibers]*B273,"Not Found",,2),"")</f>
        <v/>
      </c>
      <c r="H273" t="str" cm="1">
        <f t="array" ref="H273">IF(Sheet3!A273&lt;&gt;"",_xlfn.XLOOKUP(Sheet3!A273,FoodTable[Food],FoodTable[Sugars]*B273,"Not Found",,2),"")</f>
        <v/>
      </c>
    </row>
    <row r="274" spans="2:8" x14ac:dyDescent="0.2">
      <c r="B274" t="str">
        <f t="shared" si="4"/>
        <v/>
      </c>
      <c r="C274" s="6" t="str">
        <f>IF(Sheet3!A274&lt;&gt;"",_xlfn.XLOOKUP(Sheet3!A274,FoodTable[Food],FoodTable[Per Unit],"Not Found",,2),"")</f>
        <v/>
      </c>
      <c r="D274" t="str" cm="1">
        <f t="array" ref="D274">IF(Sheet3!A274&lt;&gt;"",_xlfn.XLOOKUP(Sheet3!A274,FoodTable[Food],FoodTable[Calories (kcal)]*Sheet3!B274,"Not Found",,2),"")</f>
        <v/>
      </c>
      <c r="E274" t="str" cm="1">
        <f t="array" ref="E274">IF(Sheet3!A274&lt;&gt;"",_xlfn.XLOOKUP(Sheet3!A274,FoodTable[Food],FoodTable[Fats (g)]*B274,"Not Found",,2),"")</f>
        <v/>
      </c>
      <c r="F274" t="str" cm="1">
        <f t="array" ref="F274">IF(Sheet3!A274&lt;&gt;"",_xlfn.XLOOKUP(Sheet3!A274,FoodTable[Food],FoodTable[Proteins (g)]*B274,"Not Found",,2),"")</f>
        <v/>
      </c>
      <c r="G274" t="str" cm="1">
        <f t="array" ref="G274">IF(Sheet3!A274&lt;&gt;"",_xlfn.XLOOKUP(Sheet3!A274,FoodTable[Food],FoodTable[Fibers]*B274,"Not Found",,2),"")</f>
        <v/>
      </c>
      <c r="H274" t="str" cm="1">
        <f t="array" ref="H274">IF(Sheet3!A274&lt;&gt;"",_xlfn.XLOOKUP(Sheet3!A274,FoodTable[Food],FoodTable[Sugars]*B274,"Not Found",,2),"")</f>
        <v/>
      </c>
    </row>
    <row r="275" spans="2:8" x14ac:dyDescent="0.2">
      <c r="B275" t="str">
        <f t="shared" si="4"/>
        <v/>
      </c>
      <c r="C275" s="6" t="str">
        <f>IF(Sheet3!A275&lt;&gt;"",_xlfn.XLOOKUP(Sheet3!A275,FoodTable[Food],FoodTable[Per Unit],"Not Found",,2),"")</f>
        <v/>
      </c>
      <c r="D275" t="str" cm="1">
        <f t="array" ref="D275">IF(Sheet3!A275&lt;&gt;"",_xlfn.XLOOKUP(Sheet3!A275,FoodTable[Food],FoodTable[Calories (kcal)]*Sheet3!B275,"Not Found",,2),"")</f>
        <v/>
      </c>
      <c r="E275" t="str" cm="1">
        <f t="array" ref="E275">IF(Sheet3!A275&lt;&gt;"",_xlfn.XLOOKUP(Sheet3!A275,FoodTable[Food],FoodTable[Fats (g)]*B275,"Not Found",,2),"")</f>
        <v/>
      </c>
      <c r="F275" t="str" cm="1">
        <f t="array" ref="F275">IF(Sheet3!A275&lt;&gt;"",_xlfn.XLOOKUP(Sheet3!A275,FoodTable[Food],FoodTable[Proteins (g)]*B275,"Not Found",,2),"")</f>
        <v/>
      </c>
      <c r="G275" t="str" cm="1">
        <f t="array" ref="G275">IF(Sheet3!A275&lt;&gt;"",_xlfn.XLOOKUP(Sheet3!A275,FoodTable[Food],FoodTable[Fibers]*B275,"Not Found",,2),"")</f>
        <v/>
      </c>
      <c r="H275" t="str" cm="1">
        <f t="array" ref="H275">IF(Sheet3!A275&lt;&gt;"",_xlfn.XLOOKUP(Sheet3!A275,FoodTable[Food],FoodTable[Sugars]*B275,"Not Found",,2),"")</f>
        <v/>
      </c>
    </row>
    <row r="276" spans="2:8" x14ac:dyDescent="0.2">
      <c r="B276" t="str">
        <f t="shared" si="4"/>
        <v/>
      </c>
      <c r="C276" s="6" t="str">
        <f>IF(Sheet3!A276&lt;&gt;"",_xlfn.XLOOKUP(Sheet3!A276,FoodTable[Food],FoodTable[Per Unit],"Not Found",,2),"")</f>
        <v/>
      </c>
      <c r="D276" t="str" cm="1">
        <f t="array" ref="D276">IF(Sheet3!A276&lt;&gt;"",_xlfn.XLOOKUP(Sheet3!A276,FoodTable[Food],FoodTable[Calories (kcal)]*Sheet3!B276,"Not Found",,2),"")</f>
        <v/>
      </c>
      <c r="E276" t="str" cm="1">
        <f t="array" ref="E276">IF(Sheet3!A276&lt;&gt;"",_xlfn.XLOOKUP(Sheet3!A276,FoodTable[Food],FoodTable[Fats (g)]*B276,"Not Found",,2),"")</f>
        <v/>
      </c>
      <c r="F276" t="str" cm="1">
        <f t="array" ref="F276">IF(Sheet3!A276&lt;&gt;"",_xlfn.XLOOKUP(Sheet3!A276,FoodTable[Food],FoodTable[Proteins (g)]*B276,"Not Found",,2),"")</f>
        <v/>
      </c>
      <c r="G276" t="str" cm="1">
        <f t="array" ref="G276">IF(Sheet3!A276&lt;&gt;"",_xlfn.XLOOKUP(Sheet3!A276,FoodTable[Food],FoodTable[Fibers]*B276,"Not Found",,2),"")</f>
        <v/>
      </c>
      <c r="H276" t="str" cm="1">
        <f t="array" ref="H276">IF(Sheet3!A276&lt;&gt;"",_xlfn.XLOOKUP(Sheet3!A276,FoodTable[Food],FoodTable[Sugars]*B276,"Not Found",,2),"")</f>
        <v/>
      </c>
    </row>
    <row r="277" spans="2:8" x14ac:dyDescent="0.2">
      <c r="B277" t="str">
        <f t="shared" si="4"/>
        <v/>
      </c>
      <c r="C277" s="6" t="str">
        <f>IF(Sheet3!A277&lt;&gt;"",_xlfn.XLOOKUP(Sheet3!A277,FoodTable[Food],FoodTable[Per Unit],"Not Found",,2),"")</f>
        <v/>
      </c>
      <c r="D277" t="str" cm="1">
        <f t="array" ref="D277">IF(Sheet3!A277&lt;&gt;"",_xlfn.XLOOKUP(Sheet3!A277,FoodTable[Food],FoodTable[Calories (kcal)]*Sheet3!B277,"Not Found",,2),"")</f>
        <v/>
      </c>
      <c r="E277" t="str" cm="1">
        <f t="array" ref="E277">IF(Sheet3!A277&lt;&gt;"",_xlfn.XLOOKUP(Sheet3!A277,FoodTable[Food],FoodTable[Fats (g)]*B277,"Not Found",,2),"")</f>
        <v/>
      </c>
      <c r="F277" t="str" cm="1">
        <f t="array" ref="F277">IF(Sheet3!A277&lt;&gt;"",_xlfn.XLOOKUP(Sheet3!A277,FoodTable[Food],FoodTable[Proteins (g)]*B277,"Not Found",,2),"")</f>
        <v/>
      </c>
      <c r="G277" t="str" cm="1">
        <f t="array" ref="G277">IF(Sheet3!A277&lt;&gt;"",_xlfn.XLOOKUP(Sheet3!A277,FoodTable[Food],FoodTable[Fibers]*B277,"Not Found",,2),"")</f>
        <v/>
      </c>
      <c r="H277" t="str" cm="1">
        <f t="array" ref="H277">IF(Sheet3!A277&lt;&gt;"",_xlfn.XLOOKUP(Sheet3!A277,FoodTable[Food],FoodTable[Sugars]*B277,"Not Found",,2),"")</f>
        <v/>
      </c>
    </row>
    <row r="278" spans="2:8" x14ac:dyDescent="0.2">
      <c r="B278" t="str">
        <f t="shared" si="4"/>
        <v/>
      </c>
      <c r="C278" s="6" t="str">
        <f>IF(Sheet3!A278&lt;&gt;"",_xlfn.XLOOKUP(Sheet3!A278,FoodTable[Food],FoodTable[Per Unit],"Not Found",,2),"")</f>
        <v/>
      </c>
      <c r="D278" t="str" cm="1">
        <f t="array" ref="D278">IF(Sheet3!A278&lt;&gt;"",_xlfn.XLOOKUP(Sheet3!A278,FoodTable[Food],FoodTable[Calories (kcal)]*Sheet3!B278,"Not Found",,2),"")</f>
        <v/>
      </c>
      <c r="E278" t="str" cm="1">
        <f t="array" ref="E278">IF(Sheet3!A278&lt;&gt;"",_xlfn.XLOOKUP(Sheet3!A278,FoodTable[Food],FoodTable[Fats (g)]*B278,"Not Found",,2),"")</f>
        <v/>
      </c>
      <c r="F278" t="str" cm="1">
        <f t="array" ref="F278">IF(Sheet3!A278&lt;&gt;"",_xlfn.XLOOKUP(Sheet3!A278,FoodTable[Food],FoodTable[Proteins (g)]*B278,"Not Found",,2),"")</f>
        <v/>
      </c>
      <c r="G278" t="str" cm="1">
        <f t="array" ref="G278">IF(Sheet3!A278&lt;&gt;"",_xlfn.XLOOKUP(Sheet3!A278,FoodTable[Food],FoodTable[Fibers]*B278,"Not Found",,2),"")</f>
        <v/>
      </c>
      <c r="H278" t="str" cm="1">
        <f t="array" ref="H278">IF(Sheet3!A278&lt;&gt;"",_xlfn.XLOOKUP(Sheet3!A278,FoodTable[Food],FoodTable[Sugars]*B278,"Not Found",,2),"")</f>
        <v/>
      </c>
    </row>
    <row r="279" spans="2:8" x14ac:dyDescent="0.2">
      <c r="B279" t="str">
        <f t="shared" si="4"/>
        <v/>
      </c>
      <c r="C279" s="6" t="str">
        <f>IF(Sheet3!A279&lt;&gt;"",_xlfn.XLOOKUP(Sheet3!A279,FoodTable[Food],FoodTable[Per Unit],"Not Found",,2),"")</f>
        <v/>
      </c>
      <c r="D279" t="str" cm="1">
        <f t="array" ref="D279">IF(Sheet3!A279&lt;&gt;"",_xlfn.XLOOKUP(Sheet3!A279,FoodTable[Food],FoodTable[Calories (kcal)]*Sheet3!B279,"Not Found",,2),"")</f>
        <v/>
      </c>
      <c r="E279" t="str" cm="1">
        <f t="array" ref="E279">IF(Sheet3!A279&lt;&gt;"",_xlfn.XLOOKUP(Sheet3!A279,FoodTable[Food],FoodTable[Fats (g)]*B279,"Not Found",,2),"")</f>
        <v/>
      </c>
      <c r="F279" t="str" cm="1">
        <f t="array" ref="F279">IF(Sheet3!A279&lt;&gt;"",_xlfn.XLOOKUP(Sheet3!A279,FoodTable[Food],FoodTable[Proteins (g)]*B279,"Not Found",,2),"")</f>
        <v/>
      </c>
      <c r="G279" t="str" cm="1">
        <f t="array" ref="G279">IF(Sheet3!A279&lt;&gt;"",_xlfn.XLOOKUP(Sheet3!A279,FoodTable[Food],FoodTable[Fibers]*B279,"Not Found",,2),"")</f>
        <v/>
      </c>
      <c r="H279" t="str" cm="1">
        <f t="array" ref="H279">IF(Sheet3!A279&lt;&gt;"",_xlfn.XLOOKUP(Sheet3!A279,FoodTable[Food],FoodTable[Sugars]*B279,"Not Found",,2),"")</f>
        <v/>
      </c>
    </row>
    <row r="280" spans="2:8" x14ac:dyDescent="0.2">
      <c r="B280" t="str">
        <f t="shared" si="4"/>
        <v/>
      </c>
      <c r="C280" s="6" t="str">
        <f>IF(Sheet3!A280&lt;&gt;"",_xlfn.XLOOKUP(Sheet3!A280,FoodTable[Food],FoodTable[Per Unit],"Not Found",,2),"")</f>
        <v/>
      </c>
      <c r="D280" t="str" cm="1">
        <f t="array" ref="D280">IF(Sheet3!A280&lt;&gt;"",_xlfn.XLOOKUP(Sheet3!A280,FoodTable[Food],FoodTable[Calories (kcal)]*Sheet3!B280,"Not Found",,2),"")</f>
        <v/>
      </c>
      <c r="E280" t="str" cm="1">
        <f t="array" ref="E280">IF(Sheet3!A280&lt;&gt;"",_xlfn.XLOOKUP(Sheet3!A280,FoodTable[Food],FoodTable[Fats (g)]*B280,"Not Found",,2),"")</f>
        <v/>
      </c>
      <c r="F280" t="str" cm="1">
        <f t="array" ref="F280">IF(Sheet3!A280&lt;&gt;"",_xlfn.XLOOKUP(Sheet3!A280,FoodTable[Food],FoodTable[Proteins (g)]*B280,"Not Found",,2),"")</f>
        <v/>
      </c>
      <c r="G280" t="str" cm="1">
        <f t="array" ref="G280">IF(Sheet3!A280&lt;&gt;"",_xlfn.XLOOKUP(Sheet3!A280,FoodTable[Food],FoodTable[Fibers]*B280,"Not Found",,2),"")</f>
        <v/>
      </c>
      <c r="H280" t="str" cm="1">
        <f t="array" ref="H280">IF(Sheet3!A280&lt;&gt;"",_xlfn.XLOOKUP(Sheet3!A280,FoodTable[Food],FoodTable[Sugars]*B280,"Not Found",,2),"")</f>
        <v/>
      </c>
    </row>
    <row r="281" spans="2:8" x14ac:dyDescent="0.2">
      <c r="B281" t="str">
        <f t="shared" si="4"/>
        <v/>
      </c>
      <c r="C281" s="6" t="str">
        <f>IF(Sheet3!A281&lt;&gt;"",_xlfn.XLOOKUP(Sheet3!A281,FoodTable[Food],FoodTable[Per Unit],"Not Found",,2),"")</f>
        <v/>
      </c>
      <c r="D281" t="str" cm="1">
        <f t="array" ref="D281">IF(Sheet3!A281&lt;&gt;"",_xlfn.XLOOKUP(Sheet3!A281,FoodTable[Food],FoodTable[Calories (kcal)]*Sheet3!B281,"Not Found",,2),"")</f>
        <v/>
      </c>
      <c r="E281" t="str" cm="1">
        <f t="array" ref="E281">IF(Sheet3!A281&lt;&gt;"",_xlfn.XLOOKUP(Sheet3!A281,FoodTable[Food],FoodTable[Fats (g)]*B281,"Not Found",,2),"")</f>
        <v/>
      </c>
      <c r="F281" t="str" cm="1">
        <f t="array" ref="F281">IF(Sheet3!A281&lt;&gt;"",_xlfn.XLOOKUP(Sheet3!A281,FoodTable[Food],FoodTable[Proteins (g)]*B281,"Not Found",,2),"")</f>
        <v/>
      </c>
      <c r="G281" t="str" cm="1">
        <f t="array" ref="G281">IF(Sheet3!A281&lt;&gt;"",_xlfn.XLOOKUP(Sheet3!A281,FoodTable[Food],FoodTable[Fibers]*B281,"Not Found",,2),"")</f>
        <v/>
      </c>
      <c r="H281" t="str" cm="1">
        <f t="array" ref="H281">IF(Sheet3!A281&lt;&gt;"",_xlfn.XLOOKUP(Sheet3!A281,FoodTable[Food],FoodTable[Sugars]*B281,"Not Found",,2),"")</f>
        <v/>
      </c>
    </row>
    <row r="282" spans="2:8" x14ac:dyDescent="0.2">
      <c r="B282" t="str">
        <f t="shared" si="4"/>
        <v/>
      </c>
      <c r="C282" s="6" t="str">
        <f>IF(Sheet3!A282&lt;&gt;"",_xlfn.XLOOKUP(Sheet3!A282,FoodTable[Food],FoodTable[Per Unit],"Not Found",,2),"")</f>
        <v/>
      </c>
      <c r="D282" t="str" cm="1">
        <f t="array" ref="D282">IF(Sheet3!A282&lt;&gt;"",_xlfn.XLOOKUP(Sheet3!A282,FoodTable[Food],FoodTable[Calories (kcal)]*Sheet3!B282,"Not Found",,2),"")</f>
        <v/>
      </c>
      <c r="E282" t="str" cm="1">
        <f t="array" ref="E282">IF(Sheet3!A282&lt;&gt;"",_xlfn.XLOOKUP(Sheet3!A282,FoodTable[Food],FoodTable[Fats (g)]*B282,"Not Found",,2),"")</f>
        <v/>
      </c>
      <c r="F282" t="str" cm="1">
        <f t="array" ref="F282">IF(Sheet3!A282&lt;&gt;"",_xlfn.XLOOKUP(Sheet3!A282,FoodTable[Food],FoodTable[Proteins (g)]*B282,"Not Found",,2),"")</f>
        <v/>
      </c>
      <c r="G282" t="str" cm="1">
        <f t="array" ref="G282">IF(Sheet3!A282&lt;&gt;"",_xlfn.XLOOKUP(Sheet3!A282,FoodTable[Food],FoodTable[Fibers]*B282,"Not Found",,2),"")</f>
        <v/>
      </c>
      <c r="H282" t="str" cm="1">
        <f t="array" ref="H282">IF(Sheet3!A282&lt;&gt;"",_xlfn.XLOOKUP(Sheet3!A282,FoodTable[Food],FoodTable[Sugars]*B282,"Not Found",,2),"")</f>
        <v/>
      </c>
    </row>
    <row r="283" spans="2:8" x14ac:dyDescent="0.2">
      <c r="B283" t="str">
        <f t="shared" si="4"/>
        <v/>
      </c>
      <c r="C283" s="6" t="str">
        <f>IF(Sheet3!A283&lt;&gt;"",_xlfn.XLOOKUP(Sheet3!A283,FoodTable[Food],FoodTable[Per Unit],"Not Found",,2),"")</f>
        <v/>
      </c>
      <c r="D283" t="str" cm="1">
        <f t="array" ref="D283">IF(Sheet3!A283&lt;&gt;"",_xlfn.XLOOKUP(Sheet3!A283,FoodTable[Food],FoodTable[Calories (kcal)]*Sheet3!B283,"Not Found",,2),"")</f>
        <v/>
      </c>
      <c r="E283" t="str" cm="1">
        <f t="array" ref="E283">IF(Sheet3!A283&lt;&gt;"",_xlfn.XLOOKUP(Sheet3!A283,FoodTable[Food],FoodTable[Fats (g)]*B283,"Not Found",,2),"")</f>
        <v/>
      </c>
      <c r="F283" t="str" cm="1">
        <f t="array" ref="F283">IF(Sheet3!A283&lt;&gt;"",_xlfn.XLOOKUP(Sheet3!A283,FoodTable[Food],FoodTable[Proteins (g)]*B283,"Not Found",,2),"")</f>
        <v/>
      </c>
      <c r="G283" t="str" cm="1">
        <f t="array" ref="G283">IF(Sheet3!A283&lt;&gt;"",_xlfn.XLOOKUP(Sheet3!A283,FoodTable[Food],FoodTable[Fibers]*B283,"Not Found",,2),"")</f>
        <v/>
      </c>
      <c r="H283" t="str" cm="1">
        <f t="array" ref="H283">IF(Sheet3!A283&lt;&gt;"",_xlfn.XLOOKUP(Sheet3!A283,FoodTable[Food],FoodTable[Sugars]*B283,"Not Found",,2),"")</f>
        <v/>
      </c>
    </row>
    <row r="284" spans="2:8" x14ac:dyDescent="0.2">
      <c r="B284" t="str">
        <f t="shared" si="4"/>
        <v/>
      </c>
      <c r="C284" s="6" t="str">
        <f>IF(Sheet3!A284&lt;&gt;"",_xlfn.XLOOKUP(Sheet3!A284,FoodTable[Food],FoodTable[Per Unit],"Not Found",,2),"")</f>
        <v/>
      </c>
      <c r="D284" t="str" cm="1">
        <f t="array" ref="D284">IF(Sheet3!A284&lt;&gt;"",_xlfn.XLOOKUP(Sheet3!A284,FoodTable[Food],FoodTable[Calories (kcal)]*Sheet3!B284,"Not Found",,2),"")</f>
        <v/>
      </c>
      <c r="E284" t="str" cm="1">
        <f t="array" ref="E284">IF(Sheet3!A284&lt;&gt;"",_xlfn.XLOOKUP(Sheet3!A284,FoodTable[Food],FoodTable[Fats (g)]*B284,"Not Found",,2),"")</f>
        <v/>
      </c>
      <c r="F284" t="str" cm="1">
        <f t="array" ref="F284">IF(Sheet3!A284&lt;&gt;"",_xlfn.XLOOKUP(Sheet3!A284,FoodTable[Food],FoodTable[Proteins (g)]*B284,"Not Found",,2),"")</f>
        <v/>
      </c>
      <c r="G284" t="str" cm="1">
        <f t="array" ref="G284">IF(Sheet3!A284&lt;&gt;"",_xlfn.XLOOKUP(Sheet3!A284,FoodTable[Food],FoodTable[Fibers]*B284,"Not Found",,2),"")</f>
        <v/>
      </c>
      <c r="H284" t="str" cm="1">
        <f t="array" ref="H284">IF(Sheet3!A284&lt;&gt;"",_xlfn.XLOOKUP(Sheet3!A284,FoodTable[Food],FoodTable[Sugars]*B284,"Not Found",,2),"")</f>
        <v/>
      </c>
    </row>
    <row r="285" spans="2:8" x14ac:dyDescent="0.2">
      <c r="B285" t="str">
        <f t="shared" si="4"/>
        <v/>
      </c>
      <c r="C285" s="6" t="str">
        <f>IF(Sheet3!A285&lt;&gt;"",_xlfn.XLOOKUP(Sheet3!A285,FoodTable[Food],FoodTable[Per Unit],"Not Found",,2),"")</f>
        <v/>
      </c>
      <c r="D285" t="str" cm="1">
        <f t="array" ref="D285">IF(Sheet3!A285&lt;&gt;"",_xlfn.XLOOKUP(Sheet3!A285,FoodTable[Food],FoodTable[Calories (kcal)]*Sheet3!B285,"Not Found",,2),"")</f>
        <v/>
      </c>
      <c r="E285" t="str" cm="1">
        <f t="array" ref="E285">IF(Sheet3!A285&lt;&gt;"",_xlfn.XLOOKUP(Sheet3!A285,FoodTable[Food],FoodTable[Fats (g)]*B285,"Not Found",,2),"")</f>
        <v/>
      </c>
      <c r="F285" t="str" cm="1">
        <f t="array" ref="F285">IF(Sheet3!A285&lt;&gt;"",_xlfn.XLOOKUP(Sheet3!A285,FoodTable[Food],FoodTable[Proteins (g)]*B285,"Not Found",,2),"")</f>
        <v/>
      </c>
      <c r="G285" t="str" cm="1">
        <f t="array" ref="G285">IF(Sheet3!A285&lt;&gt;"",_xlfn.XLOOKUP(Sheet3!A285,FoodTable[Food],FoodTable[Fibers]*B285,"Not Found",,2),"")</f>
        <v/>
      </c>
      <c r="H285" t="str" cm="1">
        <f t="array" ref="H285">IF(Sheet3!A285&lt;&gt;"",_xlfn.XLOOKUP(Sheet3!A285,FoodTable[Food],FoodTable[Sugars]*B285,"Not Found",,2),"")</f>
        <v/>
      </c>
    </row>
    <row r="286" spans="2:8" x14ac:dyDescent="0.2">
      <c r="B286" t="str">
        <f t="shared" si="4"/>
        <v/>
      </c>
      <c r="C286" s="6" t="str">
        <f>IF(Sheet3!A286&lt;&gt;"",_xlfn.XLOOKUP(Sheet3!A286,FoodTable[Food],FoodTable[Per Unit],"Not Found",,2),"")</f>
        <v/>
      </c>
      <c r="D286" t="str" cm="1">
        <f t="array" ref="D286">IF(Sheet3!A286&lt;&gt;"",_xlfn.XLOOKUP(Sheet3!A286,FoodTable[Food],FoodTable[Calories (kcal)]*Sheet3!B286,"Not Found",,2),"")</f>
        <v/>
      </c>
      <c r="E286" t="str" cm="1">
        <f t="array" ref="E286">IF(Sheet3!A286&lt;&gt;"",_xlfn.XLOOKUP(Sheet3!A286,FoodTable[Food],FoodTable[Fats (g)]*B286,"Not Found",,2),"")</f>
        <v/>
      </c>
      <c r="F286" t="str" cm="1">
        <f t="array" ref="F286">IF(Sheet3!A286&lt;&gt;"",_xlfn.XLOOKUP(Sheet3!A286,FoodTable[Food],FoodTable[Proteins (g)]*B286,"Not Found",,2),"")</f>
        <v/>
      </c>
      <c r="G286" t="str" cm="1">
        <f t="array" ref="G286">IF(Sheet3!A286&lt;&gt;"",_xlfn.XLOOKUP(Sheet3!A286,FoodTable[Food],FoodTable[Fibers]*B286,"Not Found",,2),"")</f>
        <v/>
      </c>
      <c r="H286" t="str" cm="1">
        <f t="array" ref="H286">IF(Sheet3!A286&lt;&gt;"",_xlfn.XLOOKUP(Sheet3!A286,FoodTable[Food],FoodTable[Sugars]*B286,"Not Found",,2),"")</f>
        <v/>
      </c>
    </row>
    <row r="287" spans="2:8" x14ac:dyDescent="0.2">
      <c r="B287" t="str">
        <f t="shared" si="4"/>
        <v/>
      </c>
      <c r="C287" s="6" t="str">
        <f>IF(Sheet3!A287&lt;&gt;"",_xlfn.XLOOKUP(Sheet3!A287,FoodTable[Food],FoodTable[Per Unit],"Not Found",,2),"")</f>
        <v/>
      </c>
      <c r="D287" t="str" cm="1">
        <f t="array" ref="D287">IF(Sheet3!A287&lt;&gt;"",_xlfn.XLOOKUP(Sheet3!A287,FoodTable[Food],FoodTable[Calories (kcal)]*Sheet3!B287,"Not Found",,2),"")</f>
        <v/>
      </c>
      <c r="E287" t="str" cm="1">
        <f t="array" ref="E287">IF(Sheet3!A287&lt;&gt;"",_xlfn.XLOOKUP(Sheet3!A287,FoodTable[Food],FoodTable[Fats (g)]*B287,"Not Found",,2),"")</f>
        <v/>
      </c>
      <c r="F287" t="str" cm="1">
        <f t="array" ref="F287">IF(Sheet3!A287&lt;&gt;"",_xlfn.XLOOKUP(Sheet3!A287,FoodTable[Food],FoodTable[Proteins (g)]*B287,"Not Found",,2),"")</f>
        <v/>
      </c>
      <c r="G287" t="str" cm="1">
        <f t="array" ref="G287">IF(Sheet3!A287&lt;&gt;"",_xlfn.XLOOKUP(Sheet3!A287,FoodTable[Food],FoodTable[Fibers]*B287,"Not Found",,2),"")</f>
        <v/>
      </c>
      <c r="H287" t="str" cm="1">
        <f t="array" ref="H287">IF(Sheet3!A287&lt;&gt;"",_xlfn.XLOOKUP(Sheet3!A287,FoodTable[Food],FoodTable[Sugars]*B287,"Not Found",,2),"")</f>
        <v/>
      </c>
    </row>
    <row r="288" spans="2:8" x14ac:dyDescent="0.2">
      <c r="B288" t="str">
        <f t="shared" si="4"/>
        <v/>
      </c>
      <c r="C288" s="6" t="str">
        <f>IF(Sheet3!A288&lt;&gt;"",_xlfn.XLOOKUP(Sheet3!A288,FoodTable[Food],FoodTable[Per Unit],"Not Found",,2),"")</f>
        <v/>
      </c>
      <c r="D288" t="str" cm="1">
        <f t="array" ref="D288">IF(Sheet3!A288&lt;&gt;"",_xlfn.XLOOKUP(Sheet3!A288,FoodTable[Food],FoodTable[Calories (kcal)]*Sheet3!B288,"Not Found",,2),"")</f>
        <v/>
      </c>
      <c r="E288" t="str" cm="1">
        <f t="array" ref="E288">IF(Sheet3!A288&lt;&gt;"",_xlfn.XLOOKUP(Sheet3!A288,FoodTable[Food],FoodTable[Fats (g)]*B288,"Not Found",,2),"")</f>
        <v/>
      </c>
      <c r="F288" t="str" cm="1">
        <f t="array" ref="F288">IF(Sheet3!A288&lt;&gt;"",_xlfn.XLOOKUP(Sheet3!A288,FoodTable[Food],FoodTable[Proteins (g)]*B288,"Not Found",,2),"")</f>
        <v/>
      </c>
      <c r="G288" t="str" cm="1">
        <f t="array" ref="G288">IF(Sheet3!A288&lt;&gt;"",_xlfn.XLOOKUP(Sheet3!A288,FoodTable[Food],FoodTable[Fibers]*B288,"Not Found",,2),"")</f>
        <v/>
      </c>
      <c r="H288" t="str" cm="1">
        <f t="array" ref="H288">IF(Sheet3!A288&lt;&gt;"",_xlfn.XLOOKUP(Sheet3!A288,FoodTable[Food],FoodTable[Sugars]*B288,"Not Found",,2),"")</f>
        <v/>
      </c>
    </row>
    <row r="289" spans="2:8" x14ac:dyDescent="0.2">
      <c r="B289" t="str">
        <f t="shared" si="4"/>
        <v/>
      </c>
      <c r="C289" s="6" t="str">
        <f>IF(Sheet3!A289&lt;&gt;"",_xlfn.XLOOKUP(Sheet3!A289,FoodTable[Food],FoodTable[Per Unit],"Not Found",,2),"")</f>
        <v/>
      </c>
      <c r="D289" t="str" cm="1">
        <f t="array" ref="D289">IF(Sheet3!A289&lt;&gt;"",_xlfn.XLOOKUP(Sheet3!A289,FoodTable[Food],FoodTable[Calories (kcal)]*Sheet3!B289,"Not Found",,2),"")</f>
        <v/>
      </c>
      <c r="E289" t="str" cm="1">
        <f t="array" ref="E289">IF(Sheet3!A289&lt;&gt;"",_xlfn.XLOOKUP(Sheet3!A289,FoodTable[Food],FoodTable[Fats (g)]*B289,"Not Found",,2),"")</f>
        <v/>
      </c>
      <c r="F289" t="str" cm="1">
        <f t="array" ref="F289">IF(Sheet3!A289&lt;&gt;"",_xlfn.XLOOKUP(Sheet3!A289,FoodTable[Food],FoodTable[Proteins (g)]*B289,"Not Found",,2),"")</f>
        <v/>
      </c>
      <c r="G289" t="str" cm="1">
        <f t="array" ref="G289">IF(Sheet3!A289&lt;&gt;"",_xlfn.XLOOKUP(Sheet3!A289,FoodTable[Food],FoodTable[Fibers]*B289,"Not Found",,2),"")</f>
        <v/>
      </c>
      <c r="H289" t="str" cm="1">
        <f t="array" ref="H289">IF(Sheet3!A289&lt;&gt;"",_xlfn.XLOOKUP(Sheet3!A289,FoodTable[Food],FoodTable[Sugars]*B289,"Not Found",,2),"")</f>
        <v/>
      </c>
    </row>
    <row r="290" spans="2:8" x14ac:dyDescent="0.2">
      <c r="B290" t="str">
        <f t="shared" si="4"/>
        <v/>
      </c>
      <c r="C290" s="6" t="str">
        <f>IF(Sheet3!A290&lt;&gt;"",_xlfn.XLOOKUP(Sheet3!A290,FoodTable[Food],FoodTable[Per Unit],"Not Found",,2),"")</f>
        <v/>
      </c>
      <c r="D290" t="str" cm="1">
        <f t="array" ref="D290">IF(Sheet3!A290&lt;&gt;"",_xlfn.XLOOKUP(Sheet3!A290,FoodTable[Food],FoodTable[Calories (kcal)]*Sheet3!B290,"Not Found",,2),"")</f>
        <v/>
      </c>
      <c r="E290" t="str" cm="1">
        <f t="array" ref="E290">IF(Sheet3!A290&lt;&gt;"",_xlfn.XLOOKUP(Sheet3!A290,FoodTable[Food],FoodTable[Fats (g)]*B290,"Not Found",,2),"")</f>
        <v/>
      </c>
      <c r="F290" t="str" cm="1">
        <f t="array" ref="F290">IF(Sheet3!A290&lt;&gt;"",_xlfn.XLOOKUP(Sheet3!A290,FoodTable[Food],FoodTable[Proteins (g)]*B290,"Not Found",,2),"")</f>
        <v/>
      </c>
      <c r="G290" t="str" cm="1">
        <f t="array" ref="G290">IF(Sheet3!A290&lt;&gt;"",_xlfn.XLOOKUP(Sheet3!A290,FoodTable[Food],FoodTable[Fibers]*B290,"Not Found",,2),"")</f>
        <v/>
      </c>
      <c r="H290" t="str" cm="1">
        <f t="array" ref="H290">IF(Sheet3!A290&lt;&gt;"",_xlfn.XLOOKUP(Sheet3!A290,FoodTable[Food],FoodTable[Sugars]*B290,"Not Found",,2),"")</f>
        <v/>
      </c>
    </row>
    <row r="291" spans="2:8" x14ac:dyDescent="0.2">
      <c r="B291" t="str">
        <f t="shared" si="4"/>
        <v/>
      </c>
      <c r="C291" s="6" t="str">
        <f>IF(Sheet3!A291&lt;&gt;"",_xlfn.XLOOKUP(Sheet3!A291,FoodTable[Food],FoodTable[Per Unit],"Not Found",,2),"")</f>
        <v/>
      </c>
      <c r="D291" t="str" cm="1">
        <f t="array" ref="D291">IF(Sheet3!A291&lt;&gt;"",_xlfn.XLOOKUP(Sheet3!A291,FoodTable[Food],FoodTable[Calories (kcal)]*Sheet3!B291,"Not Found",,2),"")</f>
        <v/>
      </c>
      <c r="E291" t="str" cm="1">
        <f t="array" ref="E291">IF(Sheet3!A291&lt;&gt;"",_xlfn.XLOOKUP(Sheet3!A291,FoodTable[Food],FoodTable[Fats (g)]*B291,"Not Found",,2),"")</f>
        <v/>
      </c>
      <c r="F291" t="str" cm="1">
        <f t="array" ref="F291">IF(Sheet3!A291&lt;&gt;"",_xlfn.XLOOKUP(Sheet3!A291,FoodTable[Food],FoodTable[Proteins (g)]*B291,"Not Found",,2),"")</f>
        <v/>
      </c>
      <c r="G291" t="str" cm="1">
        <f t="array" ref="G291">IF(Sheet3!A291&lt;&gt;"",_xlfn.XLOOKUP(Sheet3!A291,FoodTable[Food],FoodTable[Fibers]*B291,"Not Found",,2),"")</f>
        <v/>
      </c>
      <c r="H291" t="str" cm="1">
        <f t="array" ref="H291">IF(Sheet3!A291&lt;&gt;"",_xlfn.XLOOKUP(Sheet3!A291,FoodTable[Food],FoodTable[Sugars]*B291,"Not Found",,2),"")</f>
        <v/>
      </c>
    </row>
    <row r="292" spans="2:8" x14ac:dyDescent="0.2">
      <c r="B292" t="str">
        <f t="shared" si="4"/>
        <v/>
      </c>
      <c r="C292" s="6" t="str">
        <f>IF(Sheet3!A292&lt;&gt;"",_xlfn.XLOOKUP(Sheet3!A292,FoodTable[Food],FoodTable[Per Unit],"Not Found",,2),"")</f>
        <v/>
      </c>
      <c r="D292" t="str" cm="1">
        <f t="array" ref="D292">IF(Sheet3!A292&lt;&gt;"",_xlfn.XLOOKUP(Sheet3!A292,FoodTable[Food],FoodTable[Calories (kcal)]*Sheet3!B292,"Not Found",,2),"")</f>
        <v/>
      </c>
      <c r="E292" t="str" cm="1">
        <f t="array" ref="E292">IF(Sheet3!A292&lt;&gt;"",_xlfn.XLOOKUP(Sheet3!A292,FoodTable[Food],FoodTable[Fats (g)]*B292,"Not Found",,2),"")</f>
        <v/>
      </c>
      <c r="F292" t="str" cm="1">
        <f t="array" ref="F292">IF(Sheet3!A292&lt;&gt;"",_xlfn.XLOOKUP(Sheet3!A292,FoodTable[Food],FoodTable[Proteins (g)]*B292,"Not Found",,2),"")</f>
        <v/>
      </c>
      <c r="G292" t="str" cm="1">
        <f t="array" ref="G292">IF(Sheet3!A292&lt;&gt;"",_xlfn.XLOOKUP(Sheet3!A292,FoodTable[Food],FoodTable[Fibers]*B292,"Not Found",,2),"")</f>
        <v/>
      </c>
      <c r="H292" t="str" cm="1">
        <f t="array" ref="H292">IF(Sheet3!A292&lt;&gt;"",_xlfn.XLOOKUP(Sheet3!A292,FoodTable[Food],FoodTable[Sugars]*B292,"Not Found",,2),"")</f>
        <v/>
      </c>
    </row>
    <row r="293" spans="2:8" x14ac:dyDescent="0.2">
      <c r="B293" t="str">
        <f t="shared" si="4"/>
        <v/>
      </c>
      <c r="C293" s="6" t="str">
        <f>IF(Sheet3!A293&lt;&gt;"",_xlfn.XLOOKUP(Sheet3!A293,FoodTable[Food],FoodTable[Per Unit],"Not Found",,2),"")</f>
        <v/>
      </c>
      <c r="D293" t="str" cm="1">
        <f t="array" ref="D293">IF(Sheet3!A293&lt;&gt;"",_xlfn.XLOOKUP(Sheet3!A293,FoodTable[Food],FoodTable[Calories (kcal)]*Sheet3!B293,"Not Found",,2),"")</f>
        <v/>
      </c>
      <c r="E293" t="str" cm="1">
        <f t="array" ref="E293">IF(Sheet3!A293&lt;&gt;"",_xlfn.XLOOKUP(Sheet3!A293,FoodTable[Food],FoodTable[Fats (g)]*B293,"Not Found",,2),"")</f>
        <v/>
      </c>
      <c r="F293" t="str" cm="1">
        <f t="array" ref="F293">IF(Sheet3!A293&lt;&gt;"",_xlfn.XLOOKUP(Sheet3!A293,FoodTable[Food],FoodTable[Proteins (g)]*B293,"Not Found",,2),"")</f>
        <v/>
      </c>
      <c r="G293" t="str" cm="1">
        <f t="array" ref="G293">IF(Sheet3!A293&lt;&gt;"",_xlfn.XLOOKUP(Sheet3!A293,FoodTable[Food],FoodTable[Fibers]*B293,"Not Found",,2),"")</f>
        <v/>
      </c>
      <c r="H293" t="str" cm="1">
        <f t="array" ref="H293">IF(Sheet3!A293&lt;&gt;"",_xlfn.XLOOKUP(Sheet3!A293,FoodTable[Food],FoodTable[Sugars]*B293,"Not Found",,2),"")</f>
        <v/>
      </c>
    </row>
    <row r="294" spans="2:8" x14ac:dyDescent="0.2">
      <c r="B294" t="str">
        <f t="shared" si="4"/>
        <v/>
      </c>
      <c r="C294" s="6" t="str">
        <f>IF(Sheet3!A294&lt;&gt;"",_xlfn.XLOOKUP(Sheet3!A294,FoodTable[Food],FoodTable[Per Unit],"Not Found",,2),"")</f>
        <v/>
      </c>
      <c r="D294" t="str" cm="1">
        <f t="array" ref="D294">IF(Sheet3!A294&lt;&gt;"",_xlfn.XLOOKUP(Sheet3!A294,FoodTable[Food],FoodTable[Calories (kcal)]*Sheet3!B294,"Not Found",,2),"")</f>
        <v/>
      </c>
      <c r="E294" t="str" cm="1">
        <f t="array" ref="E294">IF(Sheet3!A294&lt;&gt;"",_xlfn.XLOOKUP(Sheet3!A294,FoodTable[Food],FoodTable[Fats (g)]*B294,"Not Found",,2),"")</f>
        <v/>
      </c>
      <c r="F294" t="str" cm="1">
        <f t="array" ref="F294">IF(Sheet3!A294&lt;&gt;"",_xlfn.XLOOKUP(Sheet3!A294,FoodTable[Food],FoodTable[Proteins (g)]*B294,"Not Found",,2),"")</f>
        <v/>
      </c>
      <c r="G294" t="str" cm="1">
        <f t="array" ref="G294">IF(Sheet3!A294&lt;&gt;"",_xlfn.XLOOKUP(Sheet3!A294,FoodTable[Food],FoodTable[Fibers]*B294,"Not Found",,2),"")</f>
        <v/>
      </c>
      <c r="H294" t="str" cm="1">
        <f t="array" ref="H294">IF(Sheet3!A294&lt;&gt;"",_xlfn.XLOOKUP(Sheet3!A294,FoodTable[Food],FoodTable[Sugars]*B294,"Not Found",,2),"")</f>
        <v/>
      </c>
    </row>
    <row r="295" spans="2:8" x14ac:dyDescent="0.2">
      <c r="B295" t="str">
        <f t="shared" si="4"/>
        <v/>
      </c>
      <c r="C295" s="6" t="str">
        <f>IF(Sheet3!A295&lt;&gt;"",_xlfn.XLOOKUP(Sheet3!A295,FoodTable[Food],FoodTable[Per Unit],"Not Found",,2),"")</f>
        <v/>
      </c>
      <c r="D295" t="str" cm="1">
        <f t="array" ref="D295">IF(Sheet3!A295&lt;&gt;"",_xlfn.XLOOKUP(Sheet3!A295,FoodTable[Food],FoodTable[Calories (kcal)]*Sheet3!B295,"Not Found",,2),"")</f>
        <v/>
      </c>
      <c r="E295" t="str" cm="1">
        <f t="array" ref="E295">IF(Sheet3!A295&lt;&gt;"",_xlfn.XLOOKUP(Sheet3!A295,FoodTable[Food],FoodTable[Fats (g)]*B295,"Not Found",,2),"")</f>
        <v/>
      </c>
      <c r="F295" t="str" cm="1">
        <f t="array" ref="F295">IF(Sheet3!A295&lt;&gt;"",_xlfn.XLOOKUP(Sheet3!A295,FoodTable[Food],FoodTable[Proteins (g)]*B295,"Not Found",,2),"")</f>
        <v/>
      </c>
      <c r="G295" t="str" cm="1">
        <f t="array" ref="G295">IF(Sheet3!A295&lt;&gt;"",_xlfn.XLOOKUP(Sheet3!A295,FoodTable[Food],FoodTable[Fibers]*B295,"Not Found",,2),"")</f>
        <v/>
      </c>
      <c r="H295" t="str" cm="1">
        <f t="array" ref="H295">IF(Sheet3!A295&lt;&gt;"",_xlfn.XLOOKUP(Sheet3!A295,FoodTable[Food],FoodTable[Sugars]*B295,"Not Found",,2),"")</f>
        <v/>
      </c>
    </row>
    <row r="296" spans="2:8" x14ac:dyDescent="0.2">
      <c r="B296" t="str">
        <f t="shared" si="4"/>
        <v/>
      </c>
      <c r="C296" s="6" t="str">
        <f>IF(Sheet3!A296&lt;&gt;"",_xlfn.XLOOKUP(Sheet3!A296,FoodTable[Food],FoodTable[Per Unit],"Not Found",,2),"")</f>
        <v/>
      </c>
      <c r="D296" t="str" cm="1">
        <f t="array" ref="D296">IF(Sheet3!A296&lt;&gt;"",_xlfn.XLOOKUP(Sheet3!A296,FoodTable[Food],FoodTable[Calories (kcal)]*Sheet3!B296,"Not Found",,2),"")</f>
        <v/>
      </c>
      <c r="E296" t="str" cm="1">
        <f t="array" ref="E296">IF(Sheet3!A296&lt;&gt;"",_xlfn.XLOOKUP(Sheet3!A296,FoodTable[Food],FoodTable[Fats (g)]*B296,"Not Found",,2),"")</f>
        <v/>
      </c>
      <c r="F296" t="str" cm="1">
        <f t="array" ref="F296">IF(Sheet3!A296&lt;&gt;"",_xlfn.XLOOKUP(Sheet3!A296,FoodTable[Food],FoodTable[Proteins (g)]*B296,"Not Found",,2),"")</f>
        <v/>
      </c>
      <c r="G296" t="str" cm="1">
        <f t="array" ref="G296">IF(Sheet3!A296&lt;&gt;"",_xlfn.XLOOKUP(Sheet3!A296,FoodTable[Food],FoodTable[Fibers]*B296,"Not Found",,2),"")</f>
        <v/>
      </c>
      <c r="H296" t="str" cm="1">
        <f t="array" ref="H296">IF(Sheet3!A296&lt;&gt;"",_xlfn.XLOOKUP(Sheet3!A296,FoodTable[Food],FoodTable[Sugars]*B296,"Not Found",,2),"")</f>
        <v/>
      </c>
    </row>
    <row r="297" spans="2:8" x14ac:dyDescent="0.2">
      <c r="B297" t="str">
        <f t="shared" si="4"/>
        <v/>
      </c>
      <c r="C297" s="6" t="str">
        <f>IF(Sheet3!A297&lt;&gt;"",_xlfn.XLOOKUP(Sheet3!A297,FoodTable[Food],FoodTable[Per Unit],"Not Found",,2),"")</f>
        <v/>
      </c>
      <c r="D297" t="str" cm="1">
        <f t="array" ref="D297">IF(Sheet3!A297&lt;&gt;"",_xlfn.XLOOKUP(Sheet3!A297,FoodTable[Food],FoodTable[Calories (kcal)]*Sheet3!B297,"Not Found",,2),"")</f>
        <v/>
      </c>
      <c r="E297" t="str" cm="1">
        <f t="array" ref="E297">IF(Sheet3!A297&lt;&gt;"",_xlfn.XLOOKUP(Sheet3!A297,FoodTable[Food],FoodTable[Fats (g)]*B297,"Not Found",,2),"")</f>
        <v/>
      </c>
      <c r="F297" t="str" cm="1">
        <f t="array" ref="F297">IF(Sheet3!A297&lt;&gt;"",_xlfn.XLOOKUP(Sheet3!A297,FoodTable[Food],FoodTable[Proteins (g)]*B297,"Not Found",,2),"")</f>
        <v/>
      </c>
      <c r="G297" t="str" cm="1">
        <f t="array" ref="G297">IF(Sheet3!A297&lt;&gt;"",_xlfn.XLOOKUP(Sheet3!A297,FoodTable[Food],FoodTable[Fibers]*B297,"Not Found",,2),"")</f>
        <v/>
      </c>
      <c r="H297" t="str" cm="1">
        <f t="array" ref="H297">IF(Sheet3!A297&lt;&gt;"",_xlfn.XLOOKUP(Sheet3!A297,FoodTable[Food],FoodTable[Sugars]*B297,"Not Found",,2),"")</f>
        <v/>
      </c>
    </row>
    <row r="298" spans="2:8" x14ac:dyDescent="0.2">
      <c r="B298" t="str">
        <f t="shared" si="4"/>
        <v/>
      </c>
      <c r="C298" s="6" t="str">
        <f>IF(Sheet3!A298&lt;&gt;"",_xlfn.XLOOKUP(Sheet3!A298,FoodTable[Food],FoodTable[Per Unit],"Not Found",,2),"")</f>
        <v/>
      </c>
      <c r="D298" t="str" cm="1">
        <f t="array" ref="D298">IF(Sheet3!A298&lt;&gt;"",_xlfn.XLOOKUP(Sheet3!A298,FoodTable[Food],FoodTable[Calories (kcal)]*Sheet3!B298,"Not Found",,2),"")</f>
        <v/>
      </c>
      <c r="E298" t="str" cm="1">
        <f t="array" ref="E298">IF(Sheet3!A298&lt;&gt;"",_xlfn.XLOOKUP(Sheet3!A298,FoodTable[Food],FoodTable[Fats (g)]*B298,"Not Found",,2),"")</f>
        <v/>
      </c>
      <c r="F298" t="str" cm="1">
        <f t="array" ref="F298">IF(Sheet3!A298&lt;&gt;"",_xlfn.XLOOKUP(Sheet3!A298,FoodTable[Food],FoodTable[Proteins (g)]*B298,"Not Found",,2),"")</f>
        <v/>
      </c>
      <c r="G298" t="str" cm="1">
        <f t="array" ref="G298">IF(Sheet3!A298&lt;&gt;"",_xlfn.XLOOKUP(Sheet3!A298,FoodTable[Food],FoodTable[Fibers]*B298,"Not Found",,2),"")</f>
        <v/>
      </c>
      <c r="H298" t="str" cm="1">
        <f t="array" ref="H298">IF(Sheet3!A298&lt;&gt;"",_xlfn.XLOOKUP(Sheet3!A298,FoodTable[Food],FoodTable[Sugars]*B298,"Not Found",,2),"")</f>
        <v/>
      </c>
    </row>
    <row r="299" spans="2:8" x14ac:dyDescent="0.2">
      <c r="B299" t="str">
        <f t="shared" si="4"/>
        <v/>
      </c>
      <c r="C299" s="6" t="str">
        <f>IF(Sheet3!A299&lt;&gt;"",_xlfn.XLOOKUP(Sheet3!A299,FoodTable[Food],FoodTable[Per Unit],"Not Found",,2),"")</f>
        <v/>
      </c>
      <c r="D299" t="str" cm="1">
        <f t="array" ref="D299">IF(Sheet3!A299&lt;&gt;"",_xlfn.XLOOKUP(Sheet3!A299,FoodTable[Food],FoodTable[Calories (kcal)]*Sheet3!B299,"Not Found",,2),"")</f>
        <v/>
      </c>
      <c r="E299" t="str" cm="1">
        <f t="array" ref="E299">IF(Sheet3!A299&lt;&gt;"",_xlfn.XLOOKUP(Sheet3!A299,FoodTable[Food],FoodTable[Fats (g)]*B299,"Not Found",,2),"")</f>
        <v/>
      </c>
      <c r="F299" t="str" cm="1">
        <f t="array" ref="F299">IF(Sheet3!A299&lt;&gt;"",_xlfn.XLOOKUP(Sheet3!A299,FoodTable[Food],FoodTable[Proteins (g)]*B299,"Not Found",,2),"")</f>
        <v/>
      </c>
      <c r="G299" t="str" cm="1">
        <f t="array" ref="G299">IF(Sheet3!A299&lt;&gt;"",_xlfn.XLOOKUP(Sheet3!A299,FoodTable[Food],FoodTable[Fibers]*B299,"Not Found",,2),"")</f>
        <v/>
      </c>
      <c r="H299" t="str" cm="1">
        <f t="array" ref="H299">IF(Sheet3!A299&lt;&gt;"",_xlfn.XLOOKUP(Sheet3!A299,FoodTable[Food],FoodTable[Sugars]*B299,"Not Found",,2),"")</f>
        <v/>
      </c>
    </row>
    <row r="300" spans="2:8" x14ac:dyDescent="0.2">
      <c r="B300" t="str">
        <f t="shared" si="4"/>
        <v/>
      </c>
      <c r="C300" s="6" t="str">
        <f>IF(Sheet3!A300&lt;&gt;"",_xlfn.XLOOKUP(Sheet3!A300,FoodTable[Food],FoodTable[Per Unit],"Not Found",,2),"")</f>
        <v/>
      </c>
      <c r="D300" t="str" cm="1">
        <f t="array" ref="D300">IF(Sheet3!A300&lt;&gt;"",_xlfn.XLOOKUP(Sheet3!A300,FoodTable[Food],FoodTable[Calories (kcal)]*Sheet3!B300,"Not Found",,2),"")</f>
        <v/>
      </c>
      <c r="E300" t="str" cm="1">
        <f t="array" ref="E300">IF(Sheet3!A300&lt;&gt;"",_xlfn.XLOOKUP(Sheet3!A300,FoodTable[Food],FoodTable[Fats (g)]*B300,"Not Found",,2),"")</f>
        <v/>
      </c>
      <c r="F300" t="str" cm="1">
        <f t="array" ref="F300">IF(Sheet3!A300&lt;&gt;"",_xlfn.XLOOKUP(Sheet3!A300,FoodTable[Food],FoodTable[Proteins (g)]*B300,"Not Found",,2),"")</f>
        <v/>
      </c>
      <c r="G300" t="str" cm="1">
        <f t="array" ref="G300">IF(Sheet3!A300&lt;&gt;"",_xlfn.XLOOKUP(Sheet3!A300,FoodTable[Food],FoodTable[Fibers]*B300,"Not Found",,2),"")</f>
        <v/>
      </c>
      <c r="H300" t="str" cm="1">
        <f t="array" ref="H300">IF(Sheet3!A300&lt;&gt;"",_xlfn.XLOOKUP(Sheet3!A300,FoodTable[Food],FoodTable[Sugars]*B300,"Not Found",,2),"")</f>
        <v/>
      </c>
    </row>
    <row r="301" spans="2:8" x14ac:dyDescent="0.2">
      <c r="B301" t="str">
        <f t="shared" si="4"/>
        <v/>
      </c>
      <c r="C301" s="6" t="str">
        <f>IF(Sheet3!A301&lt;&gt;"",_xlfn.XLOOKUP(Sheet3!A301,FoodTable[Food],FoodTable[Per Unit],"Not Found",,2),"")</f>
        <v/>
      </c>
      <c r="D301" t="str" cm="1">
        <f t="array" ref="D301">IF(Sheet3!A301&lt;&gt;"",_xlfn.XLOOKUP(Sheet3!A301,FoodTable[Food],FoodTable[Calories (kcal)]*Sheet3!B301,"Not Found",,2),"")</f>
        <v/>
      </c>
      <c r="E301" t="str" cm="1">
        <f t="array" ref="E301">IF(Sheet3!A301&lt;&gt;"",_xlfn.XLOOKUP(Sheet3!A301,FoodTable[Food],FoodTable[Fats (g)]*B301,"Not Found",,2),"")</f>
        <v/>
      </c>
      <c r="F301" t="str" cm="1">
        <f t="array" ref="F301">IF(Sheet3!A301&lt;&gt;"",_xlfn.XLOOKUP(Sheet3!A301,FoodTable[Food],FoodTable[Proteins (g)]*B301,"Not Found",,2),"")</f>
        <v/>
      </c>
      <c r="G301" t="str" cm="1">
        <f t="array" ref="G301">IF(Sheet3!A301&lt;&gt;"",_xlfn.XLOOKUP(Sheet3!A301,FoodTable[Food],FoodTable[Fibers]*B301,"Not Found",,2),"")</f>
        <v/>
      </c>
      <c r="H301" t="str" cm="1">
        <f t="array" ref="H301">IF(Sheet3!A301&lt;&gt;"",_xlfn.XLOOKUP(Sheet3!A301,FoodTable[Food],FoodTable[Sugars]*B301,"Not Found",,2),"")</f>
        <v/>
      </c>
    </row>
    <row r="302" spans="2:8" x14ac:dyDescent="0.2">
      <c r="B302" t="str">
        <f t="shared" si="4"/>
        <v/>
      </c>
      <c r="C302" s="6" t="str">
        <f>IF(Sheet3!A302&lt;&gt;"",_xlfn.XLOOKUP(Sheet3!A302,FoodTable[Food],FoodTable[Per Unit],"Not Found",,2),"")</f>
        <v/>
      </c>
      <c r="D302" t="str" cm="1">
        <f t="array" ref="D302">IF(Sheet3!A302&lt;&gt;"",_xlfn.XLOOKUP(Sheet3!A302,FoodTable[Food],FoodTable[Calories (kcal)]*Sheet3!B302,"Not Found",,2),"")</f>
        <v/>
      </c>
      <c r="E302" t="str" cm="1">
        <f t="array" ref="E302">IF(Sheet3!A302&lt;&gt;"",_xlfn.XLOOKUP(Sheet3!A302,FoodTable[Food],FoodTable[Fats (g)]*B302,"Not Found",,2),"")</f>
        <v/>
      </c>
      <c r="F302" t="str" cm="1">
        <f t="array" ref="F302">IF(Sheet3!A302&lt;&gt;"",_xlfn.XLOOKUP(Sheet3!A302,FoodTable[Food],FoodTable[Proteins (g)]*B302,"Not Found",,2),"")</f>
        <v/>
      </c>
      <c r="G302" t="str" cm="1">
        <f t="array" ref="G302">IF(Sheet3!A302&lt;&gt;"",_xlfn.XLOOKUP(Sheet3!A302,FoodTable[Food],FoodTable[Fibers]*B302,"Not Found",,2),"")</f>
        <v/>
      </c>
      <c r="H302" t="str" cm="1">
        <f t="array" ref="H302">IF(Sheet3!A302&lt;&gt;"",_xlfn.XLOOKUP(Sheet3!A302,FoodTable[Food],FoodTable[Sugars]*B302,"Not Found",,2),"")</f>
        <v/>
      </c>
    </row>
    <row r="303" spans="2:8" x14ac:dyDescent="0.2">
      <c r="B303" t="str">
        <f t="shared" si="4"/>
        <v/>
      </c>
      <c r="C303" s="6" t="str">
        <f>IF(Sheet3!A303&lt;&gt;"",_xlfn.XLOOKUP(Sheet3!A303,FoodTable[Food],FoodTable[Per Unit],"Not Found",,2),"")</f>
        <v/>
      </c>
      <c r="D303" t="str" cm="1">
        <f t="array" ref="D303">IF(Sheet3!A303&lt;&gt;"",_xlfn.XLOOKUP(Sheet3!A303,FoodTable[Food],FoodTable[Calories (kcal)]*Sheet3!B303,"Not Found",,2),"")</f>
        <v/>
      </c>
      <c r="E303" t="str" cm="1">
        <f t="array" ref="E303">IF(Sheet3!A303&lt;&gt;"",_xlfn.XLOOKUP(Sheet3!A303,FoodTable[Food],FoodTable[Fats (g)]*B303,"Not Found",,2),"")</f>
        <v/>
      </c>
      <c r="F303" t="str" cm="1">
        <f t="array" ref="F303">IF(Sheet3!A303&lt;&gt;"",_xlfn.XLOOKUP(Sheet3!A303,FoodTable[Food],FoodTable[Proteins (g)]*B303,"Not Found",,2),"")</f>
        <v/>
      </c>
      <c r="G303" t="str" cm="1">
        <f t="array" ref="G303">IF(Sheet3!A303&lt;&gt;"",_xlfn.XLOOKUP(Sheet3!A303,FoodTable[Food],FoodTable[Fibers]*B303,"Not Found",,2),"")</f>
        <v/>
      </c>
      <c r="H303" t="str" cm="1">
        <f t="array" ref="H303">IF(Sheet3!A303&lt;&gt;"",_xlfn.XLOOKUP(Sheet3!A303,FoodTable[Food],FoodTable[Sugars]*B303,"Not Found",,2),"")</f>
        <v/>
      </c>
    </row>
    <row r="304" spans="2:8" x14ac:dyDescent="0.2">
      <c r="B304" t="str">
        <f t="shared" si="4"/>
        <v/>
      </c>
      <c r="C304" s="6" t="str">
        <f>IF(Sheet3!A304&lt;&gt;"",_xlfn.XLOOKUP(Sheet3!A304,FoodTable[Food],FoodTable[Per Unit],"Not Found",,2),"")</f>
        <v/>
      </c>
      <c r="D304" t="str" cm="1">
        <f t="array" ref="D304">IF(Sheet3!A304&lt;&gt;"",_xlfn.XLOOKUP(Sheet3!A304,FoodTable[Food],FoodTable[Calories (kcal)]*Sheet3!B304,"Not Found",,2),"")</f>
        <v/>
      </c>
      <c r="E304" t="str" cm="1">
        <f t="array" ref="E304">IF(Sheet3!A304&lt;&gt;"",_xlfn.XLOOKUP(Sheet3!A304,FoodTable[Food],FoodTable[Fats (g)]*B304,"Not Found",,2),"")</f>
        <v/>
      </c>
      <c r="F304" t="str" cm="1">
        <f t="array" ref="F304">IF(Sheet3!A304&lt;&gt;"",_xlfn.XLOOKUP(Sheet3!A304,FoodTable[Food],FoodTable[Proteins (g)]*B304,"Not Found",,2),"")</f>
        <v/>
      </c>
      <c r="G304" t="str" cm="1">
        <f t="array" ref="G304">IF(Sheet3!A304&lt;&gt;"",_xlfn.XLOOKUP(Sheet3!A304,FoodTable[Food],FoodTable[Fibers]*B304,"Not Found",,2),"")</f>
        <v/>
      </c>
      <c r="H304" t="str" cm="1">
        <f t="array" ref="H304">IF(Sheet3!A304&lt;&gt;"",_xlfn.XLOOKUP(Sheet3!A304,FoodTable[Food],FoodTable[Sugars]*B304,"Not Found",,2),"")</f>
        <v/>
      </c>
    </row>
    <row r="305" spans="2:8" x14ac:dyDescent="0.2">
      <c r="B305" t="str">
        <f t="shared" si="4"/>
        <v/>
      </c>
      <c r="C305" s="6" t="str">
        <f>IF(Sheet3!A305&lt;&gt;"",_xlfn.XLOOKUP(Sheet3!A305,FoodTable[Food],FoodTable[Per Unit],"Not Found",,2),"")</f>
        <v/>
      </c>
      <c r="D305" t="str" cm="1">
        <f t="array" ref="D305">IF(Sheet3!A305&lt;&gt;"",_xlfn.XLOOKUP(Sheet3!A305,FoodTable[Food],FoodTable[Calories (kcal)]*Sheet3!B305,"Not Found",,2),"")</f>
        <v/>
      </c>
      <c r="E305" t="str" cm="1">
        <f t="array" ref="E305">IF(Sheet3!A305&lt;&gt;"",_xlfn.XLOOKUP(Sheet3!A305,FoodTable[Food],FoodTable[Fats (g)]*B305,"Not Found",,2),"")</f>
        <v/>
      </c>
      <c r="F305" t="str" cm="1">
        <f t="array" ref="F305">IF(Sheet3!A305&lt;&gt;"",_xlfn.XLOOKUP(Sheet3!A305,FoodTable[Food],FoodTable[Proteins (g)]*B305,"Not Found",,2),"")</f>
        <v/>
      </c>
      <c r="G305" t="str" cm="1">
        <f t="array" ref="G305">IF(Sheet3!A305&lt;&gt;"",_xlfn.XLOOKUP(Sheet3!A305,FoodTable[Food],FoodTable[Fibers]*B305,"Not Found",,2),"")</f>
        <v/>
      </c>
      <c r="H305" t="str" cm="1">
        <f t="array" ref="H305">IF(Sheet3!A305&lt;&gt;"",_xlfn.XLOOKUP(Sheet3!A305,FoodTable[Food],FoodTable[Sugars]*B305,"Not Found",,2),"")</f>
        <v/>
      </c>
    </row>
    <row r="306" spans="2:8" x14ac:dyDescent="0.2">
      <c r="B306" t="str">
        <f t="shared" si="4"/>
        <v/>
      </c>
      <c r="C306" s="6" t="str">
        <f>IF(Sheet3!A306&lt;&gt;"",_xlfn.XLOOKUP(Sheet3!A306,FoodTable[Food],FoodTable[Per Unit],"Not Found",,2),"")</f>
        <v/>
      </c>
      <c r="D306" t="str" cm="1">
        <f t="array" ref="D306">IF(Sheet3!A306&lt;&gt;"",_xlfn.XLOOKUP(Sheet3!A306,FoodTable[Food],FoodTable[Calories (kcal)]*Sheet3!B306,"Not Found",,2),"")</f>
        <v/>
      </c>
      <c r="E306" t="str" cm="1">
        <f t="array" ref="E306">IF(Sheet3!A306&lt;&gt;"",_xlfn.XLOOKUP(Sheet3!A306,FoodTable[Food],FoodTable[Fats (g)]*B306,"Not Found",,2),"")</f>
        <v/>
      </c>
      <c r="F306" t="str" cm="1">
        <f t="array" ref="F306">IF(Sheet3!A306&lt;&gt;"",_xlfn.XLOOKUP(Sheet3!A306,FoodTable[Food],FoodTable[Proteins (g)]*B306,"Not Found",,2),"")</f>
        <v/>
      </c>
      <c r="G306" t="str" cm="1">
        <f t="array" ref="G306">IF(Sheet3!A306&lt;&gt;"",_xlfn.XLOOKUP(Sheet3!A306,FoodTable[Food],FoodTable[Fibers]*B306,"Not Found",,2),"")</f>
        <v/>
      </c>
      <c r="H306" t="str" cm="1">
        <f t="array" ref="H306">IF(Sheet3!A306&lt;&gt;"",_xlfn.XLOOKUP(Sheet3!A306,FoodTable[Food],FoodTable[Sugars]*B306,"Not Found",,2),"")</f>
        <v/>
      </c>
    </row>
    <row r="307" spans="2:8" x14ac:dyDescent="0.2">
      <c r="B307" t="str">
        <f t="shared" si="4"/>
        <v/>
      </c>
      <c r="C307" s="6" t="str">
        <f>IF(Sheet3!A307&lt;&gt;"",_xlfn.XLOOKUP(Sheet3!A307,FoodTable[Food],FoodTable[Per Unit],"Not Found",,2),"")</f>
        <v/>
      </c>
      <c r="D307" t="str" cm="1">
        <f t="array" ref="D307">IF(Sheet3!A307&lt;&gt;"",_xlfn.XLOOKUP(Sheet3!A307,FoodTable[Food],FoodTable[Calories (kcal)]*Sheet3!B307,"Not Found",,2),"")</f>
        <v/>
      </c>
      <c r="E307" t="str" cm="1">
        <f t="array" ref="E307">IF(Sheet3!A307&lt;&gt;"",_xlfn.XLOOKUP(Sheet3!A307,FoodTable[Food],FoodTable[Fats (g)]*B307,"Not Found",,2),"")</f>
        <v/>
      </c>
      <c r="F307" t="str" cm="1">
        <f t="array" ref="F307">IF(Sheet3!A307&lt;&gt;"",_xlfn.XLOOKUP(Sheet3!A307,FoodTable[Food],FoodTable[Proteins (g)]*B307,"Not Found",,2),"")</f>
        <v/>
      </c>
      <c r="G307" t="str" cm="1">
        <f t="array" ref="G307">IF(Sheet3!A307&lt;&gt;"",_xlfn.XLOOKUP(Sheet3!A307,FoodTable[Food],FoodTable[Fibers]*B307,"Not Found",,2),"")</f>
        <v/>
      </c>
      <c r="H307" t="str" cm="1">
        <f t="array" ref="H307">IF(Sheet3!A307&lt;&gt;"",_xlfn.XLOOKUP(Sheet3!A307,FoodTable[Food],FoodTable[Sugars]*B307,"Not Found",,2),"")</f>
        <v/>
      </c>
    </row>
    <row r="308" spans="2:8" x14ac:dyDescent="0.2">
      <c r="B308" t="str">
        <f t="shared" si="4"/>
        <v/>
      </c>
      <c r="C308" s="6" t="str">
        <f>IF(Sheet3!A308&lt;&gt;"",_xlfn.XLOOKUP(Sheet3!A308,FoodTable[Food],FoodTable[Per Unit],"Not Found",,2),"")</f>
        <v/>
      </c>
      <c r="D308" t="str" cm="1">
        <f t="array" ref="D308">IF(Sheet3!A308&lt;&gt;"",_xlfn.XLOOKUP(Sheet3!A308,FoodTable[Food],FoodTable[Calories (kcal)]*Sheet3!B308,"Not Found",,2),"")</f>
        <v/>
      </c>
      <c r="E308" t="str" cm="1">
        <f t="array" ref="E308">IF(Sheet3!A308&lt;&gt;"",_xlfn.XLOOKUP(Sheet3!A308,FoodTable[Food],FoodTable[Fats (g)]*B308,"Not Found",,2),"")</f>
        <v/>
      </c>
      <c r="F308" t="str" cm="1">
        <f t="array" ref="F308">IF(Sheet3!A308&lt;&gt;"",_xlfn.XLOOKUP(Sheet3!A308,FoodTable[Food],FoodTable[Proteins (g)]*B308,"Not Found",,2),"")</f>
        <v/>
      </c>
      <c r="G308" t="str" cm="1">
        <f t="array" ref="G308">IF(Sheet3!A308&lt;&gt;"",_xlfn.XLOOKUP(Sheet3!A308,FoodTable[Food],FoodTable[Fibers]*B308,"Not Found",,2),"")</f>
        <v/>
      </c>
      <c r="H308" t="str" cm="1">
        <f t="array" ref="H308">IF(Sheet3!A308&lt;&gt;"",_xlfn.XLOOKUP(Sheet3!A308,FoodTable[Food],FoodTable[Sugars]*B308,"Not Found",,2),"")</f>
        <v/>
      </c>
    </row>
    <row r="309" spans="2:8" x14ac:dyDescent="0.2">
      <c r="B309" t="str">
        <f t="shared" si="4"/>
        <v/>
      </c>
      <c r="C309" s="6" t="str">
        <f>IF(Sheet3!A309&lt;&gt;"",_xlfn.XLOOKUP(Sheet3!A309,FoodTable[Food],FoodTable[Per Unit],"Not Found",,2),"")</f>
        <v/>
      </c>
      <c r="D309" t="str" cm="1">
        <f t="array" ref="D309">IF(Sheet3!A309&lt;&gt;"",_xlfn.XLOOKUP(Sheet3!A309,FoodTable[Food],FoodTable[Calories (kcal)]*Sheet3!B309,"Not Found",,2),"")</f>
        <v/>
      </c>
      <c r="E309" t="str" cm="1">
        <f t="array" ref="E309">IF(Sheet3!A309&lt;&gt;"",_xlfn.XLOOKUP(Sheet3!A309,FoodTable[Food],FoodTable[Fats (g)]*B309,"Not Found",,2),"")</f>
        <v/>
      </c>
      <c r="F309" t="str" cm="1">
        <f t="array" ref="F309">IF(Sheet3!A309&lt;&gt;"",_xlfn.XLOOKUP(Sheet3!A309,FoodTable[Food],FoodTable[Proteins (g)]*B309,"Not Found",,2),"")</f>
        <v/>
      </c>
      <c r="G309" t="str" cm="1">
        <f t="array" ref="G309">IF(Sheet3!A309&lt;&gt;"",_xlfn.XLOOKUP(Sheet3!A309,FoodTable[Food],FoodTable[Fibers]*B309,"Not Found",,2),"")</f>
        <v/>
      </c>
      <c r="H309" t="str" cm="1">
        <f t="array" ref="H309">IF(Sheet3!A309&lt;&gt;"",_xlfn.XLOOKUP(Sheet3!A309,FoodTable[Food],FoodTable[Sugars]*B309,"Not Found",,2),"")</f>
        <v/>
      </c>
    </row>
    <row r="310" spans="2:8" x14ac:dyDescent="0.2">
      <c r="B310" t="str">
        <f t="shared" si="4"/>
        <v/>
      </c>
      <c r="C310" s="6" t="str">
        <f>IF(Sheet3!A310&lt;&gt;"",_xlfn.XLOOKUP(Sheet3!A310,FoodTable[Food],FoodTable[Per Unit],"Not Found",,2),"")</f>
        <v/>
      </c>
      <c r="D310" t="str" cm="1">
        <f t="array" ref="D310">IF(Sheet3!A310&lt;&gt;"",_xlfn.XLOOKUP(Sheet3!A310,FoodTable[Food],FoodTable[Calories (kcal)]*Sheet3!B310,"Not Found",,2),"")</f>
        <v/>
      </c>
      <c r="E310" t="str" cm="1">
        <f t="array" ref="E310">IF(Sheet3!A310&lt;&gt;"",_xlfn.XLOOKUP(Sheet3!A310,FoodTable[Food],FoodTable[Fats (g)]*B310,"Not Found",,2),"")</f>
        <v/>
      </c>
      <c r="F310" t="str" cm="1">
        <f t="array" ref="F310">IF(Sheet3!A310&lt;&gt;"",_xlfn.XLOOKUP(Sheet3!A310,FoodTable[Food],FoodTable[Proteins (g)]*B310,"Not Found",,2),"")</f>
        <v/>
      </c>
      <c r="G310" t="str" cm="1">
        <f t="array" ref="G310">IF(Sheet3!A310&lt;&gt;"",_xlfn.XLOOKUP(Sheet3!A310,FoodTable[Food],FoodTable[Fibers]*B310,"Not Found",,2),"")</f>
        <v/>
      </c>
      <c r="H310" t="str" cm="1">
        <f t="array" ref="H310">IF(Sheet3!A310&lt;&gt;"",_xlfn.XLOOKUP(Sheet3!A310,FoodTable[Food],FoodTable[Sugars]*B310,"Not Found",,2),"")</f>
        <v/>
      </c>
    </row>
    <row r="311" spans="2:8" x14ac:dyDescent="0.2">
      <c r="B311" t="str">
        <f t="shared" si="4"/>
        <v/>
      </c>
      <c r="C311" s="6" t="str">
        <f>IF(Sheet3!A311&lt;&gt;"",_xlfn.XLOOKUP(Sheet3!A311,FoodTable[Food],FoodTable[Per Unit],"Not Found",,2),"")</f>
        <v/>
      </c>
      <c r="D311" t="str" cm="1">
        <f t="array" ref="D311">IF(Sheet3!A311&lt;&gt;"",_xlfn.XLOOKUP(Sheet3!A311,FoodTable[Food],FoodTable[Calories (kcal)]*Sheet3!B311,"Not Found",,2),"")</f>
        <v/>
      </c>
      <c r="E311" t="str" cm="1">
        <f t="array" ref="E311">IF(Sheet3!A311&lt;&gt;"",_xlfn.XLOOKUP(Sheet3!A311,FoodTable[Food],FoodTable[Fats (g)]*B311,"Not Found",,2),"")</f>
        <v/>
      </c>
      <c r="F311" t="str" cm="1">
        <f t="array" ref="F311">IF(Sheet3!A311&lt;&gt;"",_xlfn.XLOOKUP(Sheet3!A311,FoodTable[Food],FoodTable[Proteins (g)]*B311,"Not Found",,2),"")</f>
        <v/>
      </c>
      <c r="G311" t="str" cm="1">
        <f t="array" ref="G311">IF(Sheet3!A311&lt;&gt;"",_xlfn.XLOOKUP(Sheet3!A311,FoodTable[Food],FoodTable[Fibers]*B311,"Not Found",,2),"")</f>
        <v/>
      </c>
      <c r="H311" t="str" cm="1">
        <f t="array" ref="H311">IF(Sheet3!A311&lt;&gt;"",_xlfn.XLOOKUP(Sheet3!A311,FoodTable[Food],FoodTable[Sugars]*B311,"Not Found",,2),"")</f>
        <v/>
      </c>
    </row>
    <row r="312" spans="2:8" x14ac:dyDescent="0.2">
      <c r="B312" t="str">
        <f t="shared" si="4"/>
        <v/>
      </c>
      <c r="C312" s="6" t="str">
        <f>IF(Sheet3!A312&lt;&gt;"",_xlfn.XLOOKUP(Sheet3!A312,FoodTable[Food],FoodTable[Per Unit],"Not Found",,2),"")</f>
        <v/>
      </c>
      <c r="D312" t="str" cm="1">
        <f t="array" ref="D312">IF(Sheet3!A312&lt;&gt;"",_xlfn.XLOOKUP(Sheet3!A312,FoodTable[Food],FoodTable[Calories (kcal)]*Sheet3!B312,"Not Found",,2),"")</f>
        <v/>
      </c>
      <c r="E312" t="str" cm="1">
        <f t="array" ref="E312">IF(Sheet3!A312&lt;&gt;"",_xlfn.XLOOKUP(Sheet3!A312,FoodTable[Food],FoodTable[Fats (g)]*B312,"Not Found",,2),"")</f>
        <v/>
      </c>
      <c r="F312" t="str" cm="1">
        <f t="array" ref="F312">IF(Sheet3!A312&lt;&gt;"",_xlfn.XLOOKUP(Sheet3!A312,FoodTable[Food],FoodTable[Proteins (g)]*B312,"Not Found",,2),"")</f>
        <v/>
      </c>
      <c r="G312" t="str" cm="1">
        <f t="array" ref="G312">IF(Sheet3!A312&lt;&gt;"",_xlfn.XLOOKUP(Sheet3!A312,FoodTable[Food],FoodTable[Fibers]*B312,"Not Found",,2),"")</f>
        <v/>
      </c>
      <c r="H312" t="str" cm="1">
        <f t="array" ref="H312">IF(Sheet3!A312&lt;&gt;"",_xlfn.XLOOKUP(Sheet3!A312,FoodTable[Food],FoodTable[Sugars]*B312,"Not Found",,2),"")</f>
        <v/>
      </c>
    </row>
    <row r="313" spans="2:8" x14ac:dyDescent="0.2">
      <c r="B313" t="str">
        <f t="shared" si="4"/>
        <v/>
      </c>
      <c r="C313" s="6" t="str">
        <f>IF(Sheet3!A313&lt;&gt;"",_xlfn.XLOOKUP(Sheet3!A313,FoodTable[Food],FoodTable[Per Unit],"Not Found",,2),"")</f>
        <v/>
      </c>
      <c r="D313" t="str" cm="1">
        <f t="array" ref="D313">IF(Sheet3!A313&lt;&gt;"",_xlfn.XLOOKUP(Sheet3!A313,FoodTable[Food],FoodTable[Calories (kcal)]*Sheet3!B313,"Not Found",,2),"")</f>
        <v/>
      </c>
      <c r="E313" t="str" cm="1">
        <f t="array" ref="E313">IF(Sheet3!A313&lt;&gt;"",_xlfn.XLOOKUP(Sheet3!A313,FoodTable[Food],FoodTable[Fats (g)]*B313,"Not Found",,2),"")</f>
        <v/>
      </c>
      <c r="F313" t="str" cm="1">
        <f t="array" ref="F313">IF(Sheet3!A313&lt;&gt;"",_xlfn.XLOOKUP(Sheet3!A313,FoodTable[Food],FoodTable[Proteins (g)]*B313,"Not Found",,2),"")</f>
        <v/>
      </c>
      <c r="G313" t="str" cm="1">
        <f t="array" ref="G313">IF(Sheet3!A313&lt;&gt;"",_xlfn.XLOOKUP(Sheet3!A313,FoodTable[Food],FoodTable[Fibers]*B313,"Not Found",,2),"")</f>
        <v/>
      </c>
      <c r="H313" t="str" cm="1">
        <f t="array" ref="H313">IF(Sheet3!A313&lt;&gt;"",_xlfn.XLOOKUP(Sheet3!A313,FoodTable[Food],FoodTable[Sugars]*B313,"Not Found",,2),"")</f>
        <v/>
      </c>
    </row>
    <row r="314" spans="2:8" x14ac:dyDescent="0.2">
      <c r="B314" t="str">
        <f t="shared" si="4"/>
        <v/>
      </c>
      <c r="C314" s="6" t="str">
        <f>IF(Sheet3!A314&lt;&gt;"",_xlfn.XLOOKUP(Sheet3!A314,FoodTable[Food],FoodTable[Per Unit],"Not Found",,2),"")</f>
        <v/>
      </c>
      <c r="D314" t="str" cm="1">
        <f t="array" ref="D314">IF(Sheet3!A314&lt;&gt;"",_xlfn.XLOOKUP(Sheet3!A314,FoodTable[Food],FoodTable[Calories (kcal)]*Sheet3!B314,"Not Found",,2),"")</f>
        <v/>
      </c>
      <c r="E314" t="str" cm="1">
        <f t="array" ref="E314">IF(Sheet3!A314&lt;&gt;"",_xlfn.XLOOKUP(Sheet3!A314,FoodTable[Food],FoodTable[Fats (g)]*B314,"Not Found",,2),"")</f>
        <v/>
      </c>
      <c r="F314" t="str" cm="1">
        <f t="array" ref="F314">IF(Sheet3!A314&lt;&gt;"",_xlfn.XLOOKUP(Sheet3!A314,FoodTable[Food],FoodTable[Proteins (g)]*B314,"Not Found",,2),"")</f>
        <v/>
      </c>
      <c r="G314" t="str" cm="1">
        <f t="array" ref="G314">IF(Sheet3!A314&lt;&gt;"",_xlfn.XLOOKUP(Sheet3!A314,FoodTable[Food],FoodTable[Fibers]*B314,"Not Found",,2),"")</f>
        <v/>
      </c>
      <c r="H314" t="str" cm="1">
        <f t="array" ref="H314">IF(Sheet3!A314&lt;&gt;"",_xlfn.XLOOKUP(Sheet3!A314,FoodTable[Food],FoodTable[Sugars]*B314,"Not Found",,2),"")</f>
        <v/>
      </c>
    </row>
    <row r="315" spans="2:8" x14ac:dyDescent="0.2">
      <c r="B315" t="str">
        <f t="shared" si="4"/>
        <v/>
      </c>
      <c r="C315" s="6" t="str">
        <f>IF(Sheet3!A315&lt;&gt;"",_xlfn.XLOOKUP(Sheet3!A315,FoodTable[Food],FoodTable[Per Unit],"Not Found",,2),"")</f>
        <v/>
      </c>
      <c r="D315" t="str" cm="1">
        <f t="array" ref="D315">IF(Sheet3!A315&lt;&gt;"",_xlfn.XLOOKUP(Sheet3!A315,FoodTable[Food],FoodTable[Calories (kcal)]*Sheet3!B315,"Not Found",,2),"")</f>
        <v/>
      </c>
      <c r="E315" t="str" cm="1">
        <f t="array" ref="E315">IF(Sheet3!A315&lt;&gt;"",_xlfn.XLOOKUP(Sheet3!A315,FoodTable[Food],FoodTable[Fats (g)]*B315,"Not Found",,2),"")</f>
        <v/>
      </c>
      <c r="F315" t="str" cm="1">
        <f t="array" ref="F315">IF(Sheet3!A315&lt;&gt;"",_xlfn.XLOOKUP(Sheet3!A315,FoodTable[Food],FoodTable[Proteins (g)]*B315,"Not Found",,2),"")</f>
        <v/>
      </c>
      <c r="G315" t="str" cm="1">
        <f t="array" ref="G315">IF(Sheet3!A315&lt;&gt;"",_xlfn.XLOOKUP(Sheet3!A315,FoodTable[Food],FoodTable[Fibers]*B315,"Not Found",,2),"")</f>
        <v/>
      </c>
      <c r="H315" t="str" cm="1">
        <f t="array" ref="H315">IF(Sheet3!A315&lt;&gt;"",_xlfn.XLOOKUP(Sheet3!A315,FoodTable[Food],FoodTable[Sugars]*B315,"Not Found",,2),"")</f>
        <v/>
      </c>
    </row>
    <row r="316" spans="2:8" x14ac:dyDescent="0.2">
      <c r="B316" t="str">
        <f t="shared" si="4"/>
        <v/>
      </c>
      <c r="C316" s="6" t="str">
        <f>IF(Sheet3!A316&lt;&gt;"",_xlfn.XLOOKUP(Sheet3!A316,FoodTable[Food],FoodTable[Per Unit],"Not Found",,2),"")</f>
        <v/>
      </c>
      <c r="D316" t="str" cm="1">
        <f t="array" ref="D316">IF(Sheet3!A316&lt;&gt;"",_xlfn.XLOOKUP(Sheet3!A316,FoodTable[Food],FoodTable[Calories (kcal)]*Sheet3!B316,"Not Found",,2),"")</f>
        <v/>
      </c>
      <c r="E316" t="str" cm="1">
        <f t="array" ref="E316">IF(Sheet3!A316&lt;&gt;"",_xlfn.XLOOKUP(Sheet3!A316,FoodTable[Food],FoodTable[Fats (g)]*B316,"Not Found",,2),"")</f>
        <v/>
      </c>
      <c r="F316" t="str" cm="1">
        <f t="array" ref="F316">IF(Sheet3!A316&lt;&gt;"",_xlfn.XLOOKUP(Sheet3!A316,FoodTable[Food],FoodTable[Proteins (g)]*B316,"Not Found",,2),"")</f>
        <v/>
      </c>
      <c r="G316" t="str" cm="1">
        <f t="array" ref="G316">IF(Sheet3!A316&lt;&gt;"",_xlfn.XLOOKUP(Sheet3!A316,FoodTable[Food],FoodTable[Fibers]*B316,"Not Found",,2),"")</f>
        <v/>
      </c>
      <c r="H316" t="str" cm="1">
        <f t="array" ref="H316">IF(Sheet3!A316&lt;&gt;"",_xlfn.XLOOKUP(Sheet3!A316,FoodTable[Food],FoodTable[Sugars]*B316,"Not Found",,2),"")</f>
        <v/>
      </c>
    </row>
    <row r="317" spans="2:8" x14ac:dyDescent="0.2">
      <c r="B317" t="str">
        <f t="shared" si="4"/>
        <v/>
      </c>
      <c r="C317" s="6" t="str">
        <f>IF(Sheet3!A317&lt;&gt;"",_xlfn.XLOOKUP(Sheet3!A317,FoodTable[Food],FoodTable[Per Unit],"Not Found",,2),"")</f>
        <v/>
      </c>
      <c r="D317" t="str" cm="1">
        <f t="array" ref="D317">IF(Sheet3!A317&lt;&gt;"",_xlfn.XLOOKUP(Sheet3!A317,FoodTable[Food],FoodTable[Calories (kcal)]*Sheet3!B317,"Not Found",,2),"")</f>
        <v/>
      </c>
      <c r="E317" t="str" cm="1">
        <f t="array" ref="E317">IF(Sheet3!A317&lt;&gt;"",_xlfn.XLOOKUP(Sheet3!A317,FoodTable[Food],FoodTable[Fats (g)]*B317,"Not Found",,2),"")</f>
        <v/>
      </c>
      <c r="F317" t="str" cm="1">
        <f t="array" ref="F317">IF(Sheet3!A317&lt;&gt;"",_xlfn.XLOOKUP(Sheet3!A317,FoodTable[Food],FoodTable[Proteins (g)]*B317,"Not Found",,2),"")</f>
        <v/>
      </c>
      <c r="G317" t="str" cm="1">
        <f t="array" ref="G317">IF(Sheet3!A317&lt;&gt;"",_xlfn.XLOOKUP(Sheet3!A317,FoodTable[Food],FoodTable[Fibers]*B317,"Not Found",,2),"")</f>
        <v/>
      </c>
      <c r="H317" t="str" cm="1">
        <f t="array" ref="H317">IF(Sheet3!A317&lt;&gt;"",_xlfn.XLOOKUP(Sheet3!A317,FoodTable[Food],FoodTable[Sugars]*B317,"Not Found",,2),"")</f>
        <v/>
      </c>
    </row>
    <row r="318" spans="2:8" x14ac:dyDescent="0.2">
      <c r="B318" t="str">
        <f t="shared" si="4"/>
        <v/>
      </c>
      <c r="C318" s="6" t="str">
        <f>IF(Sheet3!A318&lt;&gt;"",_xlfn.XLOOKUP(Sheet3!A318,FoodTable[Food],FoodTable[Per Unit],"Not Found",,2),"")</f>
        <v/>
      </c>
      <c r="D318" t="str" cm="1">
        <f t="array" ref="D318">IF(Sheet3!A318&lt;&gt;"",_xlfn.XLOOKUP(Sheet3!A318,FoodTable[Food],FoodTable[Calories (kcal)]*Sheet3!B318,"Not Found",,2),"")</f>
        <v/>
      </c>
      <c r="E318" t="str" cm="1">
        <f t="array" ref="E318">IF(Sheet3!A318&lt;&gt;"",_xlfn.XLOOKUP(Sheet3!A318,FoodTable[Food],FoodTable[Fats (g)]*B318,"Not Found",,2),"")</f>
        <v/>
      </c>
      <c r="F318" t="str" cm="1">
        <f t="array" ref="F318">IF(Sheet3!A318&lt;&gt;"",_xlfn.XLOOKUP(Sheet3!A318,FoodTable[Food],FoodTable[Proteins (g)]*B318,"Not Found",,2),"")</f>
        <v/>
      </c>
      <c r="G318" t="str" cm="1">
        <f t="array" ref="G318">IF(Sheet3!A318&lt;&gt;"",_xlfn.XLOOKUP(Sheet3!A318,FoodTable[Food],FoodTable[Fibers]*B318,"Not Found",,2),"")</f>
        <v/>
      </c>
      <c r="H318" t="str" cm="1">
        <f t="array" ref="H318">IF(Sheet3!A318&lt;&gt;"",_xlfn.XLOOKUP(Sheet3!A318,FoodTable[Food],FoodTable[Sugars]*B318,"Not Found",,2),"")</f>
        <v/>
      </c>
    </row>
    <row r="319" spans="2:8" x14ac:dyDescent="0.2">
      <c r="B319" t="str">
        <f t="shared" si="4"/>
        <v/>
      </c>
      <c r="C319" s="6" t="str">
        <f>IF(Sheet3!A319&lt;&gt;"",_xlfn.XLOOKUP(Sheet3!A319,FoodTable[Food],FoodTable[Per Unit],"Not Found",,2),"")</f>
        <v/>
      </c>
      <c r="D319" t="str" cm="1">
        <f t="array" ref="D319">IF(Sheet3!A319&lt;&gt;"",_xlfn.XLOOKUP(Sheet3!A319,FoodTable[Food],FoodTable[Calories (kcal)]*Sheet3!B319,"Not Found",,2),"")</f>
        <v/>
      </c>
      <c r="E319" t="str" cm="1">
        <f t="array" ref="E319">IF(Sheet3!A319&lt;&gt;"",_xlfn.XLOOKUP(Sheet3!A319,FoodTable[Food],FoodTable[Fats (g)]*B319,"Not Found",,2),"")</f>
        <v/>
      </c>
      <c r="F319" t="str" cm="1">
        <f t="array" ref="F319">IF(Sheet3!A319&lt;&gt;"",_xlfn.XLOOKUP(Sheet3!A319,FoodTable[Food],FoodTable[Proteins (g)]*B319,"Not Found",,2),"")</f>
        <v/>
      </c>
      <c r="G319" t="str" cm="1">
        <f t="array" ref="G319">IF(Sheet3!A319&lt;&gt;"",_xlfn.XLOOKUP(Sheet3!A319,FoodTable[Food],FoodTable[Fibers]*B319,"Not Found",,2),"")</f>
        <v/>
      </c>
      <c r="H319" t="str" cm="1">
        <f t="array" ref="H319">IF(Sheet3!A319&lt;&gt;"",_xlfn.XLOOKUP(Sheet3!A319,FoodTable[Food],FoodTable[Sugars]*B319,"Not Found",,2),"")</f>
        <v/>
      </c>
    </row>
    <row r="320" spans="2:8" x14ac:dyDescent="0.2">
      <c r="B320" t="str">
        <f t="shared" si="4"/>
        <v/>
      </c>
      <c r="C320" s="6" t="str">
        <f>IF(Sheet3!A320&lt;&gt;"",_xlfn.XLOOKUP(Sheet3!A320,FoodTable[Food],FoodTable[Per Unit],"Not Found",,2),"")</f>
        <v/>
      </c>
      <c r="D320" t="str" cm="1">
        <f t="array" ref="D320">IF(Sheet3!A320&lt;&gt;"",_xlfn.XLOOKUP(Sheet3!A320,FoodTable[Food],FoodTable[Calories (kcal)]*Sheet3!B320,"Not Found",,2),"")</f>
        <v/>
      </c>
      <c r="E320" t="str" cm="1">
        <f t="array" ref="E320">IF(Sheet3!A320&lt;&gt;"",_xlfn.XLOOKUP(Sheet3!A320,FoodTable[Food],FoodTable[Fats (g)]*B320,"Not Found",,2),"")</f>
        <v/>
      </c>
      <c r="F320" t="str" cm="1">
        <f t="array" ref="F320">IF(Sheet3!A320&lt;&gt;"",_xlfn.XLOOKUP(Sheet3!A320,FoodTable[Food],FoodTable[Proteins (g)]*B320,"Not Found",,2),"")</f>
        <v/>
      </c>
      <c r="G320" t="str" cm="1">
        <f t="array" ref="G320">IF(Sheet3!A320&lt;&gt;"",_xlfn.XLOOKUP(Sheet3!A320,FoodTable[Food],FoodTable[Fibers]*B320,"Not Found",,2),"")</f>
        <v/>
      </c>
      <c r="H320" t="str" cm="1">
        <f t="array" ref="H320">IF(Sheet3!A320&lt;&gt;"",_xlfn.XLOOKUP(Sheet3!A320,FoodTable[Food],FoodTable[Sugars]*B320,"Not Found",,2),"")</f>
        <v/>
      </c>
    </row>
    <row r="321" spans="2:8" x14ac:dyDescent="0.2">
      <c r="B321" t="str">
        <f t="shared" si="4"/>
        <v/>
      </c>
      <c r="C321" s="6" t="str">
        <f>IF(Sheet3!A321&lt;&gt;"",_xlfn.XLOOKUP(Sheet3!A321,FoodTable[Food],FoodTable[Per Unit],"Not Found",,2),"")</f>
        <v/>
      </c>
      <c r="D321" t="str" cm="1">
        <f t="array" ref="D321">IF(Sheet3!A321&lt;&gt;"",_xlfn.XLOOKUP(Sheet3!A321,FoodTable[Food],FoodTable[Calories (kcal)]*Sheet3!B321,"Not Found",,2),"")</f>
        <v/>
      </c>
      <c r="E321" t="str" cm="1">
        <f t="array" ref="E321">IF(Sheet3!A321&lt;&gt;"",_xlfn.XLOOKUP(Sheet3!A321,FoodTable[Food],FoodTable[Fats (g)]*B321,"Not Found",,2),"")</f>
        <v/>
      </c>
      <c r="F321" t="str" cm="1">
        <f t="array" ref="F321">IF(Sheet3!A321&lt;&gt;"",_xlfn.XLOOKUP(Sheet3!A321,FoodTable[Food],FoodTable[Proteins (g)]*B321,"Not Found",,2),"")</f>
        <v/>
      </c>
      <c r="G321" t="str" cm="1">
        <f t="array" ref="G321">IF(Sheet3!A321&lt;&gt;"",_xlfn.XLOOKUP(Sheet3!A321,FoodTable[Food],FoodTable[Fibers]*B321,"Not Found",,2),"")</f>
        <v/>
      </c>
      <c r="H321" t="str" cm="1">
        <f t="array" ref="H321">IF(Sheet3!A321&lt;&gt;"",_xlfn.XLOOKUP(Sheet3!A321,FoodTable[Food],FoodTable[Sugars]*B321,"Not Found",,2),"")</f>
        <v/>
      </c>
    </row>
    <row r="322" spans="2:8" x14ac:dyDescent="0.2">
      <c r="B322" t="str">
        <f t="shared" si="4"/>
        <v/>
      </c>
      <c r="C322" s="6" t="str">
        <f>IF(Sheet3!A322&lt;&gt;"",_xlfn.XLOOKUP(Sheet3!A322,FoodTable[Food],FoodTable[Per Unit],"Not Found",,2),"")</f>
        <v/>
      </c>
      <c r="D322" t="str" cm="1">
        <f t="array" ref="D322">IF(Sheet3!A322&lt;&gt;"",_xlfn.XLOOKUP(Sheet3!A322,FoodTable[Food],FoodTable[Calories (kcal)]*Sheet3!B322,"Not Found",,2),"")</f>
        <v/>
      </c>
      <c r="E322" t="str" cm="1">
        <f t="array" ref="E322">IF(Sheet3!A322&lt;&gt;"",_xlfn.XLOOKUP(Sheet3!A322,FoodTable[Food],FoodTable[Fats (g)]*B322,"Not Found",,2),"")</f>
        <v/>
      </c>
      <c r="F322" t="str" cm="1">
        <f t="array" ref="F322">IF(Sheet3!A322&lt;&gt;"",_xlfn.XLOOKUP(Sheet3!A322,FoodTable[Food],FoodTable[Proteins (g)]*B322,"Not Found",,2),"")</f>
        <v/>
      </c>
      <c r="G322" t="str" cm="1">
        <f t="array" ref="G322">IF(Sheet3!A322&lt;&gt;"",_xlfn.XLOOKUP(Sheet3!A322,FoodTable[Food],FoodTable[Fibers]*B322,"Not Found",,2),"")</f>
        <v/>
      </c>
      <c r="H322" t="str" cm="1">
        <f t="array" ref="H322">IF(Sheet3!A322&lt;&gt;"",_xlfn.XLOOKUP(Sheet3!A322,FoodTable[Food],FoodTable[Sugars]*B322,"Not Found",,2),"")</f>
        <v/>
      </c>
    </row>
    <row r="323" spans="2:8" x14ac:dyDescent="0.2">
      <c r="B323" t="str">
        <f t="shared" si="4"/>
        <v/>
      </c>
      <c r="C323" s="6" t="str">
        <f>IF(Sheet3!A323&lt;&gt;"",_xlfn.XLOOKUP(Sheet3!A323,FoodTable[Food],FoodTable[Per Unit],"Not Found",,2),"")</f>
        <v/>
      </c>
      <c r="D323" t="str" cm="1">
        <f t="array" ref="D323">IF(Sheet3!A323&lt;&gt;"",_xlfn.XLOOKUP(Sheet3!A323,FoodTable[Food],FoodTable[Calories (kcal)]*Sheet3!B323,"Not Found",,2),"")</f>
        <v/>
      </c>
      <c r="E323" t="str" cm="1">
        <f t="array" ref="E323">IF(Sheet3!A323&lt;&gt;"",_xlfn.XLOOKUP(Sheet3!A323,FoodTable[Food],FoodTable[Fats (g)]*B323,"Not Found",,2),"")</f>
        <v/>
      </c>
      <c r="F323" t="str" cm="1">
        <f t="array" ref="F323">IF(Sheet3!A323&lt;&gt;"",_xlfn.XLOOKUP(Sheet3!A323,FoodTable[Food],FoodTable[Proteins (g)]*B323,"Not Found",,2),"")</f>
        <v/>
      </c>
      <c r="G323" t="str" cm="1">
        <f t="array" ref="G323">IF(Sheet3!A323&lt;&gt;"",_xlfn.XLOOKUP(Sheet3!A323,FoodTable[Food],FoodTable[Fibers]*B323,"Not Found",,2),"")</f>
        <v/>
      </c>
      <c r="H323" t="str" cm="1">
        <f t="array" ref="H323">IF(Sheet3!A323&lt;&gt;"",_xlfn.XLOOKUP(Sheet3!A323,FoodTable[Food],FoodTable[Sugars]*B323,"Not Found",,2),"")</f>
        <v/>
      </c>
    </row>
    <row r="324" spans="2:8" x14ac:dyDescent="0.2">
      <c r="B324" t="str">
        <f t="shared" ref="B324:B354" si="5">IF(A324&lt;&gt;"",1,"")</f>
        <v/>
      </c>
      <c r="C324" s="6" t="str">
        <f>IF(Sheet3!A324&lt;&gt;"",_xlfn.XLOOKUP(Sheet3!A324,FoodTable[Food],FoodTable[Per Unit],"Not Found",,2),"")</f>
        <v/>
      </c>
      <c r="D324" t="str" cm="1">
        <f t="array" ref="D324">IF(Sheet3!A324&lt;&gt;"",_xlfn.XLOOKUP(Sheet3!A324,FoodTable[Food],FoodTable[Calories (kcal)]*Sheet3!B324,"Not Found",,2),"")</f>
        <v/>
      </c>
      <c r="E324" t="str" cm="1">
        <f t="array" ref="E324">IF(Sheet3!A324&lt;&gt;"",_xlfn.XLOOKUP(Sheet3!A324,FoodTable[Food],FoodTable[Fats (g)]*B324,"Not Found",,2),"")</f>
        <v/>
      </c>
      <c r="F324" t="str" cm="1">
        <f t="array" ref="F324">IF(Sheet3!A324&lt;&gt;"",_xlfn.XLOOKUP(Sheet3!A324,FoodTable[Food],FoodTable[Proteins (g)]*B324,"Not Found",,2),"")</f>
        <v/>
      </c>
      <c r="G324" t="str" cm="1">
        <f t="array" ref="G324">IF(Sheet3!A324&lt;&gt;"",_xlfn.XLOOKUP(Sheet3!A324,FoodTable[Food],FoodTable[Fibers]*B324,"Not Found",,2),"")</f>
        <v/>
      </c>
      <c r="H324" t="str" cm="1">
        <f t="array" ref="H324">IF(Sheet3!A324&lt;&gt;"",_xlfn.XLOOKUP(Sheet3!A324,FoodTable[Food],FoodTable[Sugars]*B324,"Not Found",,2),"")</f>
        <v/>
      </c>
    </row>
    <row r="325" spans="2:8" x14ac:dyDescent="0.2">
      <c r="B325" t="str">
        <f t="shared" si="5"/>
        <v/>
      </c>
      <c r="C325" s="6" t="str">
        <f>IF(Sheet3!A325&lt;&gt;"",_xlfn.XLOOKUP(Sheet3!A325,FoodTable[Food],FoodTable[Per Unit],"Not Found",,2),"")</f>
        <v/>
      </c>
      <c r="D325" t="str" cm="1">
        <f t="array" ref="D325">IF(Sheet3!A325&lt;&gt;"",_xlfn.XLOOKUP(Sheet3!A325,FoodTable[Food],FoodTable[Calories (kcal)]*Sheet3!B325,"Not Found",,2),"")</f>
        <v/>
      </c>
      <c r="E325" t="str" cm="1">
        <f t="array" ref="E325">IF(Sheet3!A325&lt;&gt;"",_xlfn.XLOOKUP(Sheet3!A325,FoodTable[Food],FoodTable[Fats (g)]*B325,"Not Found",,2),"")</f>
        <v/>
      </c>
      <c r="F325" t="str" cm="1">
        <f t="array" ref="F325">IF(Sheet3!A325&lt;&gt;"",_xlfn.XLOOKUP(Sheet3!A325,FoodTable[Food],FoodTable[Proteins (g)]*B325,"Not Found",,2),"")</f>
        <v/>
      </c>
      <c r="G325" t="str" cm="1">
        <f t="array" ref="G325">IF(Sheet3!A325&lt;&gt;"",_xlfn.XLOOKUP(Sheet3!A325,FoodTable[Food],FoodTable[Fibers]*B325,"Not Found",,2),"")</f>
        <v/>
      </c>
      <c r="H325" t="str" cm="1">
        <f t="array" ref="H325">IF(Sheet3!A325&lt;&gt;"",_xlfn.XLOOKUP(Sheet3!A325,FoodTable[Food],FoodTable[Sugars]*B325,"Not Found",,2),"")</f>
        <v/>
      </c>
    </row>
    <row r="326" spans="2:8" x14ac:dyDescent="0.2">
      <c r="B326" t="str">
        <f t="shared" si="5"/>
        <v/>
      </c>
      <c r="C326" s="6" t="str">
        <f>IF(Sheet3!A326&lt;&gt;"",_xlfn.XLOOKUP(Sheet3!A326,FoodTable[Food],FoodTable[Per Unit],"Not Found",,2),"")</f>
        <v/>
      </c>
      <c r="D326" t="str" cm="1">
        <f t="array" ref="D326">IF(Sheet3!A326&lt;&gt;"",_xlfn.XLOOKUP(Sheet3!A326,FoodTable[Food],FoodTable[Calories (kcal)]*Sheet3!B326,"Not Found",,2),"")</f>
        <v/>
      </c>
      <c r="E326" t="str" cm="1">
        <f t="array" ref="E326">IF(Sheet3!A326&lt;&gt;"",_xlfn.XLOOKUP(Sheet3!A326,FoodTable[Food],FoodTable[Fats (g)]*B326,"Not Found",,2),"")</f>
        <v/>
      </c>
      <c r="F326" t="str" cm="1">
        <f t="array" ref="F326">IF(Sheet3!A326&lt;&gt;"",_xlfn.XLOOKUP(Sheet3!A326,FoodTable[Food],FoodTable[Proteins (g)]*B326,"Not Found",,2),"")</f>
        <v/>
      </c>
      <c r="G326" t="str" cm="1">
        <f t="array" ref="G326">IF(Sheet3!A326&lt;&gt;"",_xlfn.XLOOKUP(Sheet3!A326,FoodTable[Food],FoodTable[Fibers]*B326,"Not Found",,2),"")</f>
        <v/>
      </c>
      <c r="H326" t="str" cm="1">
        <f t="array" ref="H326">IF(Sheet3!A326&lt;&gt;"",_xlfn.XLOOKUP(Sheet3!A326,FoodTable[Food],FoodTable[Sugars]*B326,"Not Found",,2),"")</f>
        <v/>
      </c>
    </row>
    <row r="327" spans="2:8" x14ac:dyDescent="0.2">
      <c r="B327" t="str">
        <f t="shared" si="5"/>
        <v/>
      </c>
      <c r="C327" s="6" t="str">
        <f>IF(Sheet3!A327&lt;&gt;"",_xlfn.XLOOKUP(Sheet3!A327,FoodTable[Food],FoodTable[Per Unit],"Not Found",,2),"")</f>
        <v/>
      </c>
      <c r="D327" t="str" cm="1">
        <f t="array" ref="D327">IF(Sheet3!A327&lt;&gt;"",_xlfn.XLOOKUP(Sheet3!A327,FoodTable[Food],FoodTable[Calories (kcal)]*Sheet3!B327,"Not Found",,2),"")</f>
        <v/>
      </c>
      <c r="E327" t="str" cm="1">
        <f t="array" ref="E327">IF(Sheet3!A327&lt;&gt;"",_xlfn.XLOOKUP(Sheet3!A327,FoodTable[Food],FoodTable[Fats (g)]*B327,"Not Found",,2),"")</f>
        <v/>
      </c>
      <c r="F327" t="str" cm="1">
        <f t="array" ref="F327">IF(Sheet3!A327&lt;&gt;"",_xlfn.XLOOKUP(Sheet3!A327,FoodTable[Food],FoodTable[Proteins (g)]*B327,"Not Found",,2),"")</f>
        <v/>
      </c>
      <c r="G327" t="str" cm="1">
        <f t="array" ref="G327">IF(Sheet3!A327&lt;&gt;"",_xlfn.XLOOKUP(Sheet3!A327,FoodTable[Food],FoodTable[Fibers]*B327,"Not Found",,2),"")</f>
        <v/>
      </c>
      <c r="H327" t="str" cm="1">
        <f t="array" ref="H327">IF(Sheet3!A327&lt;&gt;"",_xlfn.XLOOKUP(Sheet3!A327,FoodTable[Food],FoodTable[Sugars]*B327,"Not Found",,2),"")</f>
        <v/>
      </c>
    </row>
    <row r="328" spans="2:8" x14ac:dyDescent="0.2">
      <c r="B328" t="str">
        <f t="shared" si="5"/>
        <v/>
      </c>
      <c r="C328" s="6" t="str">
        <f>IF(Sheet3!A328&lt;&gt;"",_xlfn.XLOOKUP(Sheet3!A328,FoodTable[Food],FoodTable[Per Unit],"Not Found",,2),"")</f>
        <v/>
      </c>
      <c r="D328" t="str" cm="1">
        <f t="array" ref="D328">IF(Sheet3!A328&lt;&gt;"",_xlfn.XLOOKUP(Sheet3!A328,FoodTable[Food],FoodTable[Calories (kcal)]*Sheet3!B328,"Not Found",,2),"")</f>
        <v/>
      </c>
      <c r="E328" t="str" cm="1">
        <f t="array" ref="E328">IF(Sheet3!A328&lt;&gt;"",_xlfn.XLOOKUP(Sheet3!A328,FoodTable[Food],FoodTable[Fats (g)]*B328,"Not Found",,2),"")</f>
        <v/>
      </c>
      <c r="F328" t="str" cm="1">
        <f t="array" ref="F328">IF(Sheet3!A328&lt;&gt;"",_xlfn.XLOOKUP(Sheet3!A328,FoodTable[Food],FoodTable[Proteins (g)]*B328,"Not Found",,2),"")</f>
        <v/>
      </c>
      <c r="G328" t="str" cm="1">
        <f t="array" ref="G328">IF(Sheet3!A328&lt;&gt;"",_xlfn.XLOOKUP(Sheet3!A328,FoodTable[Food],FoodTable[Fibers]*B328,"Not Found",,2),"")</f>
        <v/>
      </c>
      <c r="H328" t="str" cm="1">
        <f t="array" ref="H328">IF(Sheet3!A328&lt;&gt;"",_xlfn.XLOOKUP(Sheet3!A328,FoodTable[Food],FoodTable[Sugars]*B328,"Not Found",,2),"")</f>
        <v/>
      </c>
    </row>
    <row r="329" spans="2:8" x14ac:dyDescent="0.2">
      <c r="B329" t="str">
        <f t="shared" si="5"/>
        <v/>
      </c>
      <c r="C329" s="6" t="str">
        <f>IF(Sheet3!A329&lt;&gt;"",_xlfn.XLOOKUP(Sheet3!A329,FoodTable[Food],FoodTable[Per Unit],"Not Found",,2),"")</f>
        <v/>
      </c>
      <c r="D329" t="str" cm="1">
        <f t="array" ref="D329">IF(Sheet3!A329&lt;&gt;"",_xlfn.XLOOKUP(Sheet3!A329,FoodTable[Food],FoodTable[Calories (kcal)]*Sheet3!B329,"Not Found",,2),"")</f>
        <v/>
      </c>
      <c r="E329" t="str" cm="1">
        <f t="array" ref="E329">IF(Sheet3!A329&lt;&gt;"",_xlfn.XLOOKUP(Sheet3!A329,FoodTable[Food],FoodTable[Fats (g)]*B329,"Not Found",,2),"")</f>
        <v/>
      </c>
      <c r="F329" t="str" cm="1">
        <f t="array" ref="F329">IF(Sheet3!A329&lt;&gt;"",_xlfn.XLOOKUP(Sheet3!A329,FoodTable[Food],FoodTable[Proteins (g)]*B329,"Not Found",,2),"")</f>
        <v/>
      </c>
      <c r="G329" t="str" cm="1">
        <f t="array" ref="G329">IF(Sheet3!A329&lt;&gt;"",_xlfn.XLOOKUP(Sheet3!A329,FoodTable[Food],FoodTable[Fibers]*B329,"Not Found",,2),"")</f>
        <v/>
      </c>
      <c r="H329" t="str" cm="1">
        <f t="array" ref="H329">IF(Sheet3!A329&lt;&gt;"",_xlfn.XLOOKUP(Sheet3!A329,FoodTable[Food],FoodTable[Sugars]*B329,"Not Found",,2),"")</f>
        <v/>
      </c>
    </row>
    <row r="330" spans="2:8" x14ac:dyDescent="0.2">
      <c r="B330" t="str">
        <f t="shared" si="5"/>
        <v/>
      </c>
      <c r="C330" s="6" t="str">
        <f>IF(Sheet3!A330&lt;&gt;"",_xlfn.XLOOKUP(Sheet3!A330,FoodTable[Food],FoodTable[Per Unit],"Not Found",,2),"")</f>
        <v/>
      </c>
      <c r="D330" t="str" cm="1">
        <f t="array" ref="D330">IF(Sheet3!A330&lt;&gt;"",_xlfn.XLOOKUP(Sheet3!A330,FoodTable[Food],FoodTable[Calories (kcal)]*Sheet3!B330,"Not Found",,2),"")</f>
        <v/>
      </c>
      <c r="E330" t="str" cm="1">
        <f t="array" ref="E330">IF(Sheet3!A330&lt;&gt;"",_xlfn.XLOOKUP(Sheet3!A330,FoodTable[Food],FoodTable[Fats (g)]*B330,"Not Found",,2),"")</f>
        <v/>
      </c>
      <c r="F330" t="str" cm="1">
        <f t="array" ref="F330">IF(Sheet3!A330&lt;&gt;"",_xlfn.XLOOKUP(Sheet3!A330,FoodTable[Food],FoodTable[Proteins (g)]*B330,"Not Found",,2),"")</f>
        <v/>
      </c>
      <c r="G330" t="str" cm="1">
        <f t="array" ref="G330">IF(Sheet3!A330&lt;&gt;"",_xlfn.XLOOKUP(Sheet3!A330,FoodTable[Food],FoodTable[Fibers]*B330,"Not Found",,2),"")</f>
        <v/>
      </c>
      <c r="H330" t="str" cm="1">
        <f t="array" ref="H330">IF(Sheet3!A330&lt;&gt;"",_xlfn.XLOOKUP(Sheet3!A330,FoodTable[Food],FoodTable[Sugars]*B330,"Not Found",,2),"")</f>
        <v/>
      </c>
    </row>
    <row r="331" spans="2:8" x14ac:dyDescent="0.2">
      <c r="B331" t="str">
        <f t="shared" si="5"/>
        <v/>
      </c>
      <c r="C331" s="6" t="str">
        <f>IF(Sheet3!A331&lt;&gt;"",_xlfn.XLOOKUP(Sheet3!A331,FoodTable[Food],FoodTable[Per Unit],"Not Found",,2),"")</f>
        <v/>
      </c>
      <c r="D331" t="str" cm="1">
        <f t="array" ref="D331">IF(Sheet3!A331&lt;&gt;"",_xlfn.XLOOKUP(Sheet3!A331,FoodTable[Food],FoodTable[Calories (kcal)]*Sheet3!B331,"Not Found",,2),"")</f>
        <v/>
      </c>
      <c r="E331" t="str" cm="1">
        <f t="array" ref="E331">IF(Sheet3!A331&lt;&gt;"",_xlfn.XLOOKUP(Sheet3!A331,FoodTable[Food],FoodTable[Fats (g)]*B331,"Not Found",,2),"")</f>
        <v/>
      </c>
      <c r="F331" t="str" cm="1">
        <f t="array" ref="F331">IF(Sheet3!A331&lt;&gt;"",_xlfn.XLOOKUP(Sheet3!A331,FoodTable[Food],FoodTable[Proteins (g)]*B331,"Not Found",,2),"")</f>
        <v/>
      </c>
      <c r="G331" t="str" cm="1">
        <f t="array" ref="G331">IF(Sheet3!A331&lt;&gt;"",_xlfn.XLOOKUP(Sheet3!A331,FoodTable[Food],FoodTable[Fibers]*B331,"Not Found",,2),"")</f>
        <v/>
      </c>
      <c r="H331" t="str" cm="1">
        <f t="array" ref="H331">IF(Sheet3!A331&lt;&gt;"",_xlfn.XLOOKUP(Sheet3!A331,FoodTable[Food],FoodTable[Sugars]*B331,"Not Found",,2),"")</f>
        <v/>
      </c>
    </row>
    <row r="332" spans="2:8" x14ac:dyDescent="0.2">
      <c r="B332" t="str">
        <f t="shared" si="5"/>
        <v/>
      </c>
      <c r="C332" s="6" t="str">
        <f>IF(Sheet3!A332&lt;&gt;"",_xlfn.XLOOKUP(Sheet3!A332,FoodTable[Food],FoodTable[Per Unit],"Not Found",,2),"")</f>
        <v/>
      </c>
      <c r="D332" t="str" cm="1">
        <f t="array" ref="D332">IF(Sheet3!A332&lt;&gt;"",_xlfn.XLOOKUP(Sheet3!A332,FoodTable[Food],FoodTable[Calories (kcal)]*Sheet3!B332,"Not Found",,2),"")</f>
        <v/>
      </c>
      <c r="E332" t="str" cm="1">
        <f t="array" ref="E332">IF(Sheet3!A332&lt;&gt;"",_xlfn.XLOOKUP(Sheet3!A332,FoodTable[Food],FoodTable[Fats (g)]*B332,"Not Found",,2),"")</f>
        <v/>
      </c>
      <c r="F332" t="str" cm="1">
        <f t="array" ref="F332">IF(Sheet3!A332&lt;&gt;"",_xlfn.XLOOKUP(Sheet3!A332,FoodTable[Food],FoodTable[Proteins (g)]*B332,"Not Found",,2),"")</f>
        <v/>
      </c>
      <c r="G332" t="str" cm="1">
        <f t="array" ref="G332">IF(Sheet3!A332&lt;&gt;"",_xlfn.XLOOKUP(Sheet3!A332,FoodTable[Food],FoodTable[Fibers]*B332,"Not Found",,2),"")</f>
        <v/>
      </c>
      <c r="H332" t="str" cm="1">
        <f t="array" ref="H332">IF(Sheet3!A332&lt;&gt;"",_xlfn.XLOOKUP(Sheet3!A332,FoodTable[Food],FoodTable[Sugars]*B332,"Not Found",,2),"")</f>
        <v/>
      </c>
    </row>
    <row r="333" spans="2:8" x14ac:dyDescent="0.2">
      <c r="B333" t="str">
        <f t="shared" si="5"/>
        <v/>
      </c>
      <c r="C333" s="6" t="str">
        <f>IF(Sheet3!A333&lt;&gt;"",_xlfn.XLOOKUP(Sheet3!A333,FoodTable[Food],FoodTable[Per Unit],"Not Found",,2),"")</f>
        <v/>
      </c>
      <c r="D333" t="str" cm="1">
        <f t="array" ref="D333">IF(Sheet3!A333&lt;&gt;"",_xlfn.XLOOKUP(Sheet3!A333,FoodTable[Food],FoodTable[Calories (kcal)]*Sheet3!B333,"Not Found",,2),"")</f>
        <v/>
      </c>
      <c r="E333" t="str" cm="1">
        <f t="array" ref="E333">IF(Sheet3!A333&lt;&gt;"",_xlfn.XLOOKUP(Sheet3!A333,FoodTable[Food],FoodTable[Fats (g)]*B333,"Not Found",,2),"")</f>
        <v/>
      </c>
      <c r="F333" t="str" cm="1">
        <f t="array" ref="F333">IF(Sheet3!A333&lt;&gt;"",_xlfn.XLOOKUP(Sheet3!A333,FoodTable[Food],FoodTable[Proteins (g)]*B333,"Not Found",,2),"")</f>
        <v/>
      </c>
      <c r="G333" t="str" cm="1">
        <f t="array" ref="G333">IF(Sheet3!A333&lt;&gt;"",_xlfn.XLOOKUP(Sheet3!A333,FoodTable[Food],FoodTable[Fibers]*B333,"Not Found",,2),"")</f>
        <v/>
      </c>
      <c r="H333" t="str" cm="1">
        <f t="array" ref="H333">IF(Sheet3!A333&lt;&gt;"",_xlfn.XLOOKUP(Sheet3!A333,FoodTable[Food],FoodTable[Sugars]*B333,"Not Found",,2),"")</f>
        <v/>
      </c>
    </row>
    <row r="334" spans="2:8" x14ac:dyDescent="0.2">
      <c r="B334" t="str">
        <f t="shared" si="5"/>
        <v/>
      </c>
      <c r="C334" s="6" t="str">
        <f>IF(Sheet3!A334&lt;&gt;"",_xlfn.XLOOKUP(Sheet3!A334,FoodTable[Food],FoodTable[Per Unit],"Not Found",,2),"")</f>
        <v/>
      </c>
      <c r="D334" t="str" cm="1">
        <f t="array" ref="D334">IF(Sheet3!A334&lt;&gt;"",_xlfn.XLOOKUP(Sheet3!A334,FoodTable[Food],FoodTable[Calories (kcal)]*Sheet3!B334,"Not Found",,2),"")</f>
        <v/>
      </c>
      <c r="E334" t="str" cm="1">
        <f t="array" ref="E334">IF(Sheet3!A334&lt;&gt;"",_xlfn.XLOOKUP(Sheet3!A334,FoodTable[Food],FoodTable[Fats (g)]*B334,"Not Found",,2),"")</f>
        <v/>
      </c>
      <c r="F334" t="str" cm="1">
        <f t="array" ref="F334">IF(Sheet3!A334&lt;&gt;"",_xlfn.XLOOKUP(Sheet3!A334,FoodTable[Food],FoodTable[Proteins (g)]*B334,"Not Found",,2),"")</f>
        <v/>
      </c>
      <c r="G334" t="str" cm="1">
        <f t="array" ref="G334">IF(Sheet3!A334&lt;&gt;"",_xlfn.XLOOKUP(Sheet3!A334,FoodTable[Food],FoodTable[Fibers]*B334,"Not Found",,2),"")</f>
        <v/>
      </c>
      <c r="H334" t="str" cm="1">
        <f t="array" ref="H334">IF(Sheet3!A334&lt;&gt;"",_xlfn.XLOOKUP(Sheet3!A334,FoodTable[Food],FoodTable[Sugars]*B334,"Not Found",,2),"")</f>
        <v/>
      </c>
    </row>
    <row r="335" spans="2:8" x14ac:dyDescent="0.2">
      <c r="B335" t="str">
        <f t="shared" si="5"/>
        <v/>
      </c>
      <c r="C335" s="6" t="str">
        <f>IF(Sheet3!A335&lt;&gt;"",_xlfn.XLOOKUP(Sheet3!A335,FoodTable[Food],FoodTable[Per Unit],"Not Found",,2),"")</f>
        <v/>
      </c>
      <c r="D335" t="str" cm="1">
        <f t="array" ref="D335">IF(Sheet3!A335&lt;&gt;"",_xlfn.XLOOKUP(Sheet3!A335,FoodTable[Food],FoodTable[Calories (kcal)]*Sheet3!B335,"Not Found",,2),"")</f>
        <v/>
      </c>
      <c r="E335" t="str" cm="1">
        <f t="array" ref="E335">IF(Sheet3!A335&lt;&gt;"",_xlfn.XLOOKUP(Sheet3!A335,FoodTable[Food],FoodTable[Fats (g)]*B335,"Not Found",,2),"")</f>
        <v/>
      </c>
      <c r="F335" t="str" cm="1">
        <f t="array" ref="F335">IF(Sheet3!A335&lt;&gt;"",_xlfn.XLOOKUP(Sheet3!A335,FoodTable[Food],FoodTable[Proteins (g)]*B335,"Not Found",,2),"")</f>
        <v/>
      </c>
      <c r="G335" t="str" cm="1">
        <f t="array" ref="G335">IF(Sheet3!A335&lt;&gt;"",_xlfn.XLOOKUP(Sheet3!A335,FoodTable[Food],FoodTable[Fibers]*B335,"Not Found",,2),"")</f>
        <v/>
      </c>
      <c r="H335" t="str" cm="1">
        <f t="array" ref="H335">IF(Sheet3!A335&lt;&gt;"",_xlfn.XLOOKUP(Sheet3!A335,FoodTable[Food],FoodTable[Sugars]*B335,"Not Found",,2),"")</f>
        <v/>
      </c>
    </row>
    <row r="336" spans="2:8" x14ac:dyDescent="0.2">
      <c r="B336" t="str">
        <f t="shared" si="5"/>
        <v/>
      </c>
      <c r="C336" s="6" t="str">
        <f>IF(Sheet3!A336&lt;&gt;"",_xlfn.XLOOKUP(Sheet3!A336,FoodTable[Food],FoodTable[Per Unit],"Not Found",,2),"")</f>
        <v/>
      </c>
      <c r="D336" t="str" cm="1">
        <f t="array" ref="D336">IF(Sheet3!A336&lt;&gt;"",_xlfn.XLOOKUP(Sheet3!A336,FoodTable[Food],FoodTable[Calories (kcal)]*Sheet3!B336,"Not Found",,2),"")</f>
        <v/>
      </c>
      <c r="E336" t="str" cm="1">
        <f t="array" ref="E336">IF(Sheet3!A336&lt;&gt;"",_xlfn.XLOOKUP(Sheet3!A336,FoodTable[Food],FoodTable[Fats (g)]*B336,"Not Found",,2),"")</f>
        <v/>
      </c>
      <c r="F336" t="str" cm="1">
        <f t="array" ref="F336">IF(Sheet3!A336&lt;&gt;"",_xlfn.XLOOKUP(Sheet3!A336,FoodTable[Food],FoodTable[Proteins (g)]*B336,"Not Found",,2),"")</f>
        <v/>
      </c>
      <c r="G336" t="str" cm="1">
        <f t="array" ref="G336">IF(Sheet3!A336&lt;&gt;"",_xlfn.XLOOKUP(Sheet3!A336,FoodTable[Food],FoodTable[Fibers]*B336,"Not Found",,2),"")</f>
        <v/>
      </c>
      <c r="H336" t="str" cm="1">
        <f t="array" ref="H336">IF(Sheet3!A336&lt;&gt;"",_xlfn.XLOOKUP(Sheet3!A336,FoodTable[Food],FoodTable[Sugars]*B336,"Not Found",,2),"")</f>
        <v/>
      </c>
    </row>
    <row r="337" spans="2:8" x14ac:dyDescent="0.2">
      <c r="B337" t="str">
        <f t="shared" si="5"/>
        <v/>
      </c>
      <c r="C337" s="6" t="str">
        <f>IF(Sheet3!A337&lt;&gt;"",_xlfn.XLOOKUP(Sheet3!A337,FoodTable[Food],FoodTable[Per Unit],"Not Found",,2),"")</f>
        <v/>
      </c>
      <c r="D337" t="str" cm="1">
        <f t="array" ref="D337">IF(Sheet3!A337&lt;&gt;"",_xlfn.XLOOKUP(Sheet3!A337,FoodTable[Food],FoodTable[Calories (kcal)]*Sheet3!B337,"Not Found",,2),"")</f>
        <v/>
      </c>
      <c r="E337" t="str" cm="1">
        <f t="array" ref="E337">IF(Sheet3!A337&lt;&gt;"",_xlfn.XLOOKUP(Sheet3!A337,FoodTable[Food],FoodTable[Fats (g)]*B337,"Not Found",,2),"")</f>
        <v/>
      </c>
      <c r="F337" t="str" cm="1">
        <f t="array" ref="F337">IF(Sheet3!A337&lt;&gt;"",_xlfn.XLOOKUP(Sheet3!A337,FoodTable[Food],FoodTable[Proteins (g)]*B337,"Not Found",,2),"")</f>
        <v/>
      </c>
      <c r="G337" t="str" cm="1">
        <f t="array" ref="G337">IF(Sheet3!A337&lt;&gt;"",_xlfn.XLOOKUP(Sheet3!A337,FoodTable[Food],FoodTable[Fibers]*B337,"Not Found",,2),"")</f>
        <v/>
      </c>
      <c r="H337" t="str" cm="1">
        <f t="array" ref="H337">IF(Sheet3!A337&lt;&gt;"",_xlfn.XLOOKUP(Sheet3!A337,FoodTable[Food],FoodTable[Sugars]*B337,"Not Found",,2),"")</f>
        <v/>
      </c>
    </row>
    <row r="338" spans="2:8" x14ac:dyDescent="0.2">
      <c r="B338" t="str">
        <f t="shared" si="5"/>
        <v/>
      </c>
      <c r="C338" s="6" t="str">
        <f>IF(Sheet3!A338&lt;&gt;"",_xlfn.XLOOKUP(Sheet3!A338,FoodTable[Food],FoodTable[Per Unit],"Not Found",,2),"")</f>
        <v/>
      </c>
      <c r="D338" t="str" cm="1">
        <f t="array" ref="D338">IF(Sheet3!A338&lt;&gt;"",_xlfn.XLOOKUP(Sheet3!A338,FoodTable[Food],FoodTable[Calories (kcal)]*Sheet3!B338,"Not Found",,2),"")</f>
        <v/>
      </c>
      <c r="E338" t="str" cm="1">
        <f t="array" ref="E338">IF(Sheet3!A338&lt;&gt;"",_xlfn.XLOOKUP(Sheet3!A338,FoodTable[Food],FoodTable[Fats (g)]*B338,"Not Found",,2),"")</f>
        <v/>
      </c>
      <c r="F338" t="str" cm="1">
        <f t="array" ref="F338">IF(Sheet3!A338&lt;&gt;"",_xlfn.XLOOKUP(Sheet3!A338,FoodTable[Food],FoodTable[Proteins (g)]*B338,"Not Found",,2),"")</f>
        <v/>
      </c>
      <c r="G338" t="str" cm="1">
        <f t="array" ref="G338">IF(Sheet3!A338&lt;&gt;"",_xlfn.XLOOKUP(Sheet3!A338,FoodTable[Food],FoodTable[Fibers]*B338,"Not Found",,2),"")</f>
        <v/>
      </c>
      <c r="H338" t="str" cm="1">
        <f t="array" ref="H338">IF(Sheet3!A338&lt;&gt;"",_xlfn.XLOOKUP(Sheet3!A338,FoodTable[Food],FoodTable[Sugars]*B338,"Not Found",,2),"")</f>
        <v/>
      </c>
    </row>
    <row r="339" spans="2:8" x14ac:dyDescent="0.2">
      <c r="B339" t="str">
        <f t="shared" si="5"/>
        <v/>
      </c>
      <c r="C339" s="6" t="str">
        <f>IF(Sheet3!A339&lt;&gt;"",_xlfn.XLOOKUP(Sheet3!A339,FoodTable[Food],FoodTable[Per Unit],"Not Found",,2),"")</f>
        <v/>
      </c>
      <c r="D339" t="str" cm="1">
        <f t="array" ref="D339">IF(Sheet3!A339&lt;&gt;"",_xlfn.XLOOKUP(Sheet3!A339,FoodTable[Food],FoodTable[Calories (kcal)]*Sheet3!B339,"Not Found",,2),"")</f>
        <v/>
      </c>
      <c r="E339" t="str" cm="1">
        <f t="array" ref="E339">IF(Sheet3!A339&lt;&gt;"",_xlfn.XLOOKUP(Sheet3!A339,FoodTable[Food],FoodTable[Fats (g)]*B339,"Not Found",,2),"")</f>
        <v/>
      </c>
      <c r="F339" t="str" cm="1">
        <f t="array" ref="F339">IF(Sheet3!A339&lt;&gt;"",_xlfn.XLOOKUP(Sheet3!A339,FoodTable[Food],FoodTable[Proteins (g)]*B339,"Not Found",,2),"")</f>
        <v/>
      </c>
      <c r="G339" t="str" cm="1">
        <f t="array" ref="G339">IF(Sheet3!A339&lt;&gt;"",_xlfn.XLOOKUP(Sheet3!A339,FoodTable[Food],FoodTable[Fibers]*B339,"Not Found",,2),"")</f>
        <v/>
      </c>
      <c r="H339" t="str" cm="1">
        <f t="array" ref="H339">IF(Sheet3!A339&lt;&gt;"",_xlfn.XLOOKUP(Sheet3!A339,FoodTable[Food],FoodTable[Sugars]*B339,"Not Found",,2),"")</f>
        <v/>
      </c>
    </row>
    <row r="340" spans="2:8" x14ac:dyDescent="0.2">
      <c r="B340" t="str">
        <f t="shared" si="5"/>
        <v/>
      </c>
      <c r="C340" s="6" t="str">
        <f>IF(Sheet3!A340&lt;&gt;"",_xlfn.XLOOKUP(Sheet3!A340,FoodTable[Food],FoodTable[Per Unit],"Not Found",,2),"")</f>
        <v/>
      </c>
      <c r="D340" t="str" cm="1">
        <f t="array" ref="D340">IF(Sheet3!A340&lt;&gt;"",_xlfn.XLOOKUP(Sheet3!A340,FoodTable[Food],FoodTable[Calories (kcal)]*Sheet3!B340,"Not Found",,2),"")</f>
        <v/>
      </c>
      <c r="E340" t="str" cm="1">
        <f t="array" ref="E340">IF(Sheet3!A340&lt;&gt;"",_xlfn.XLOOKUP(Sheet3!A340,FoodTable[Food],FoodTable[Fats (g)]*B340,"Not Found",,2),"")</f>
        <v/>
      </c>
      <c r="F340" t="str" cm="1">
        <f t="array" ref="F340">IF(Sheet3!A340&lt;&gt;"",_xlfn.XLOOKUP(Sheet3!A340,FoodTable[Food],FoodTable[Proteins (g)]*B340,"Not Found",,2),"")</f>
        <v/>
      </c>
      <c r="G340" t="str" cm="1">
        <f t="array" ref="G340">IF(Sheet3!A340&lt;&gt;"",_xlfn.XLOOKUP(Sheet3!A340,FoodTable[Food],FoodTable[Fibers]*B340,"Not Found",,2),"")</f>
        <v/>
      </c>
      <c r="H340" t="str" cm="1">
        <f t="array" ref="H340">IF(Sheet3!A340&lt;&gt;"",_xlfn.XLOOKUP(Sheet3!A340,FoodTable[Food],FoodTable[Sugars]*B340,"Not Found",,2),"")</f>
        <v/>
      </c>
    </row>
    <row r="341" spans="2:8" x14ac:dyDescent="0.2">
      <c r="B341" t="str">
        <f t="shared" si="5"/>
        <v/>
      </c>
      <c r="C341" s="6" t="str">
        <f>IF(Sheet3!A341&lt;&gt;"",_xlfn.XLOOKUP(Sheet3!A341,FoodTable[Food],FoodTable[Per Unit],"Not Found",,2),"")</f>
        <v/>
      </c>
      <c r="D341" t="str" cm="1">
        <f t="array" ref="D341">IF(Sheet3!A341&lt;&gt;"",_xlfn.XLOOKUP(Sheet3!A341,FoodTable[Food],FoodTable[Calories (kcal)]*Sheet3!B341,"Not Found",,2),"")</f>
        <v/>
      </c>
      <c r="E341" t="str" cm="1">
        <f t="array" ref="E341">IF(Sheet3!A341&lt;&gt;"",_xlfn.XLOOKUP(Sheet3!A341,FoodTable[Food],FoodTable[Fats (g)]*B341,"Not Found",,2),"")</f>
        <v/>
      </c>
      <c r="F341" t="str" cm="1">
        <f t="array" ref="F341">IF(Sheet3!A341&lt;&gt;"",_xlfn.XLOOKUP(Sheet3!A341,FoodTable[Food],FoodTable[Proteins (g)]*B341,"Not Found",,2),"")</f>
        <v/>
      </c>
      <c r="G341" t="str" cm="1">
        <f t="array" ref="G341">IF(Sheet3!A341&lt;&gt;"",_xlfn.XLOOKUP(Sheet3!A341,FoodTable[Food],FoodTable[Fibers]*B341,"Not Found",,2),"")</f>
        <v/>
      </c>
      <c r="H341" t="str" cm="1">
        <f t="array" ref="H341">IF(Sheet3!A341&lt;&gt;"",_xlfn.XLOOKUP(Sheet3!A341,FoodTable[Food],FoodTable[Sugars]*B341,"Not Found",,2),"")</f>
        <v/>
      </c>
    </row>
    <row r="342" spans="2:8" x14ac:dyDescent="0.2">
      <c r="B342" t="str">
        <f t="shared" si="5"/>
        <v/>
      </c>
      <c r="C342" s="6" t="str">
        <f>IF(Sheet3!A342&lt;&gt;"",_xlfn.XLOOKUP(Sheet3!A342,FoodTable[Food],FoodTable[Per Unit],"Not Found",,2),"")</f>
        <v/>
      </c>
      <c r="D342" t="str" cm="1">
        <f t="array" ref="D342">IF(Sheet3!A342&lt;&gt;"",_xlfn.XLOOKUP(Sheet3!A342,FoodTable[Food],FoodTable[Calories (kcal)]*Sheet3!B342,"Not Found",,2),"")</f>
        <v/>
      </c>
      <c r="E342" t="str" cm="1">
        <f t="array" ref="E342">IF(Sheet3!A342&lt;&gt;"",_xlfn.XLOOKUP(Sheet3!A342,FoodTable[Food],FoodTable[Fats (g)]*B342,"Not Found",,2),"")</f>
        <v/>
      </c>
      <c r="F342" t="str" cm="1">
        <f t="array" ref="F342">IF(Sheet3!A342&lt;&gt;"",_xlfn.XLOOKUP(Sheet3!A342,FoodTable[Food],FoodTable[Proteins (g)]*B342,"Not Found",,2),"")</f>
        <v/>
      </c>
      <c r="G342" t="str" cm="1">
        <f t="array" ref="G342">IF(Sheet3!A342&lt;&gt;"",_xlfn.XLOOKUP(Sheet3!A342,FoodTable[Food],FoodTable[Fibers]*B342,"Not Found",,2),"")</f>
        <v/>
      </c>
      <c r="H342" t="str" cm="1">
        <f t="array" ref="H342">IF(Sheet3!A342&lt;&gt;"",_xlfn.XLOOKUP(Sheet3!A342,FoodTable[Food],FoodTable[Sugars]*B342,"Not Found",,2),"")</f>
        <v/>
      </c>
    </row>
    <row r="343" spans="2:8" x14ac:dyDescent="0.2">
      <c r="B343" t="str">
        <f t="shared" si="5"/>
        <v/>
      </c>
      <c r="C343" s="6" t="str">
        <f>IF(Sheet3!A343&lt;&gt;"",_xlfn.XLOOKUP(Sheet3!A343,FoodTable[Food],FoodTable[Per Unit],"Not Found",,2),"")</f>
        <v/>
      </c>
      <c r="D343" t="str" cm="1">
        <f t="array" ref="D343">IF(Sheet3!A343&lt;&gt;"",_xlfn.XLOOKUP(Sheet3!A343,FoodTable[Food],FoodTable[Calories (kcal)]*Sheet3!B343,"Not Found",,2),"")</f>
        <v/>
      </c>
      <c r="E343" t="str" cm="1">
        <f t="array" ref="E343">IF(Sheet3!A343&lt;&gt;"",_xlfn.XLOOKUP(Sheet3!A343,FoodTable[Food],FoodTable[Fats (g)]*B343,"Not Found",,2),"")</f>
        <v/>
      </c>
      <c r="F343" t="str" cm="1">
        <f t="array" ref="F343">IF(Sheet3!A343&lt;&gt;"",_xlfn.XLOOKUP(Sheet3!A343,FoodTable[Food],FoodTable[Proteins (g)]*B343,"Not Found",,2),"")</f>
        <v/>
      </c>
      <c r="G343" t="str" cm="1">
        <f t="array" ref="G343">IF(Sheet3!A343&lt;&gt;"",_xlfn.XLOOKUP(Sheet3!A343,FoodTable[Food],FoodTable[Fibers]*B343,"Not Found",,2),"")</f>
        <v/>
      </c>
      <c r="H343" t="str" cm="1">
        <f t="array" ref="H343">IF(Sheet3!A343&lt;&gt;"",_xlfn.XLOOKUP(Sheet3!A343,FoodTable[Food],FoodTable[Sugars]*B343,"Not Found",,2),"")</f>
        <v/>
      </c>
    </row>
    <row r="344" spans="2:8" x14ac:dyDescent="0.2">
      <c r="B344" t="str">
        <f t="shared" si="5"/>
        <v/>
      </c>
      <c r="C344" s="6" t="str">
        <f>IF(Sheet3!A344&lt;&gt;"",_xlfn.XLOOKUP(Sheet3!A344,FoodTable[Food],FoodTable[Per Unit],"Not Found",,2),"")</f>
        <v/>
      </c>
      <c r="D344" t="str" cm="1">
        <f t="array" ref="D344">IF(Sheet3!A344&lt;&gt;"",_xlfn.XLOOKUP(Sheet3!A344,FoodTable[Food],FoodTable[Calories (kcal)]*Sheet3!B344,"Not Found",,2),"")</f>
        <v/>
      </c>
      <c r="E344" t="str" cm="1">
        <f t="array" ref="E344">IF(Sheet3!A344&lt;&gt;"",_xlfn.XLOOKUP(Sheet3!A344,FoodTable[Food],FoodTable[Fats (g)]*B344,"Not Found",,2),"")</f>
        <v/>
      </c>
      <c r="F344" t="str" cm="1">
        <f t="array" ref="F344">IF(Sheet3!A344&lt;&gt;"",_xlfn.XLOOKUP(Sheet3!A344,FoodTable[Food],FoodTable[Proteins (g)]*B344,"Not Found",,2),"")</f>
        <v/>
      </c>
      <c r="G344" t="str" cm="1">
        <f t="array" ref="G344">IF(Sheet3!A344&lt;&gt;"",_xlfn.XLOOKUP(Sheet3!A344,FoodTable[Food],FoodTable[Fibers]*B344,"Not Found",,2),"")</f>
        <v/>
      </c>
      <c r="H344" t="str" cm="1">
        <f t="array" ref="H344">IF(Sheet3!A344&lt;&gt;"",_xlfn.XLOOKUP(Sheet3!A344,FoodTable[Food],FoodTable[Sugars]*B344,"Not Found",,2),"")</f>
        <v/>
      </c>
    </row>
    <row r="345" spans="2:8" x14ac:dyDescent="0.2">
      <c r="B345" t="str">
        <f t="shared" si="5"/>
        <v/>
      </c>
      <c r="C345" s="6" t="str">
        <f>IF(Sheet3!A345&lt;&gt;"",_xlfn.XLOOKUP(Sheet3!A345,FoodTable[Food],FoodTable[Per Unit],"Not Found",,2),"")</f>
        <v/>
      </c>
      <c r="D345" t="str" cm="1">
        <f t="array" ref="D345">IF(Sheet3!A345&lt;&gt;"",_xlfn.XLOOKUP(Sheet3!A345,FoodTable[Food],FoodTable[Calories (kcal)]*Sheet3!B345,"Not Found",,2),"")</f>
        <v/>
      </c>
      <c r="E345" t="str" cm="1">
        <f t="array" ref="E345">IF(Sheet3!A345&lt;&gt;"",_xlfn.XLOOKUP(Sheet3!A345,FoodTable[Food],FoodTable[Fats (g)]*B345,"Not Found",,2),"")</f>
        <v/>
      </c>
      <c r="F345" t="str" cm="1">
        <f t="array" ref="F345">IF(Sheet3!A345&lt;&gt;"",_xlfn.XLOOKUP(Sheet3!A345,FoodTable[Food],FoodTable[Proteins (g)]*B345,"Not Found",,2),"")</f>
        <v/>
      </c>
      <c r="G345" t="str" cm="1">
        <f t="array" ref="G345">IF(Sheet3!A345&lt;&gt;"",_xlfn.XLOOKUP(Sheet3!A345,FoodTable[Food],FoodTable[Fibers]*B345,"Not Found",,2),"")</f>
        <v/>
      </c>
      <c r="H345" t="str" cm="1">
        <f t="array" ref="H345">IF(Sheet3!A345&lt;&gt;"",_xlfn.XLOOKUP(Sheet3!A345,FoodTable[Food],FoodTable[Sugars]*B345,"Not Found",,2),"")</f>
        <v/>
      </c>
    </row>
    <row r="346" spans="2:8" x14ac:dyDescent="0.2">
      <c r="B346" t="str">
        <f t="shared" si="5"/>
        <v/>
      </c>
      <c r="C346" s="6" t="str">
        <f>IF(Sheet3!A346&lt;&gt;"",_xlfn.XLOOKUP(Sheet3!A346,FoodTable[Food],FoodTable[Per Unit],"Not Found",,2),"")</f>
        <v/>
      </c>
      <c r="D346" t="str" cm="1">
        <f t="array" ref="D346">IF(Sheet3!A346&lt;&gt;"",_xlfn.XLOOKUP(Sheet3!A346,FoodTable[Food],FoodTable[Calories (kcal)]*Sheet3!B346,"Not Found",,2),"")</f>
        <v/>
      </c>
      <c r="E346" t="str" cm="1">
        <f t="array" ref="E346">IF(Sheet3!A346&lt;&gt;"",_xlfn.XLOOKUP(Sheet3!A346,FoodTable[Food],FoodTable[Fats (g)]*B346,"Not Found",,2),"")</f>
        <v/>
      </c>
      <c r="F346" t="str" cm="1">
        <f t="array" ref="F346">IF(Sheet3!A346&lt;&gt;"",_xlfn.XLOOKUP(Sheet3!A346,FoodTable[Food],FoodTable[Proteins (g)]*B346,"Not Found",,2),"")</f>
        <v/>
      </c>
      <c r="G346" t="str" cm="1">
        <f t="array" ref="G346">IF(Sheet3!A346&lt;&gt;"",_xlfn.XLOOKUP(Sheet3!A346,FoodTable[Food],FoodTable[Fibers]*B346,"Not Found",,2),"")</f>
        <v/>
      </c>
      <c r="H346" t="str" cm="1">
        <f t="array" ref="H346">IF(Sheet3!A346&lt;&gt;"",_xlfn.XLOOKUP(Sheet3!A346,FoodTable[Food],FoodTable[Sugars]*B346,"Not Found",,2),"")</f>
        <v/>
      </c>
    </row>
    <row r="347" spans="2:8" x14ac:dyDescent="0.2">
      <c r="B347" t="str">
        <f t="shared" si="5"/>
        <v/>
      </c>
      <c r="C347" s="6" t="str">
        <f>IF(Sheet3!A347&lt;&gt;"",_xlfn.XLOOKUP(Sheet3!A347,FoodTable[Food],FoodTable[Per Unit],"Not Found",,2),"")</f>
        <v/>
      </c>
      <c r="D347" t="str" cm="1">
        <f t="array" ref="D347">IF(Sheet3!A347&lt;&gt;"",_xlfn.XLOOKUP(Sheet3!A347,FoodTable[Food],FoodTable[Calories (kcal)]*Sheet3!B347,"Not Found",,2),"")</f>
        <v/>
      </c>
      <c r="E347" t="str" cm="1">
        <f t="array" ref="E347">IF(Sheet3!A347&lt;&gt;"",_xlfn.XLOOKUP(Sheet3!A347,FoodTable[Food],FoodTable[Fats (g)]*B347,"Not Found",,2),"")</f>
        <v/>
      </c>
      <c r="F347" t="str" cm="1">
        <f t="array" ref="F347">IF(Sheet3!A347&lt;&gt;"",_xlfn.XLOOKUP(Sheet3!A347,FoodTable[Food],FoodTable[Proteins (g)]*B347,"Not Found",,2),"")</f>
        <v/>
      </c>
      <c r="G347" t="str" cm="1">
        <f t="array" ref="G347">IF(Sheet3!A347&lt;&gt;"",_xlfn.XLOOKUP(Sheet3!A347,FoodTable[Food],FoodTable[Fibers]*B347,"Not Found",,2),"")</f>
        <v/>
      </c>
      <c r="H347" t="str" cm="1">
        <f t="array" ref="H347">IF(Sheet3!A347&lt;&gt;"",_xlfn.XLOOKUP(Sheet3!A347,FoodTable[Food],FoodTable[Sugars]*B347,"Not Found",,2),"")</f>
        <v/>
      </c>
    </row>
    <row r="348" spans="2:8" x14ac:dyDescent="0.2">
      <c r="B348" t="str">
        <f t="shared" si="5"/>
        <v/>
      </c>
      <c r="C348" s="6" t="str">
        <f>IF(Sheet3!A348&lt;&gt;"",_xlfn.XLOOKUP(Sheet3!A348,FoodTable[Food],FoodTable[Per Unit],"Not Found",,2),"")</f>
        <v/>
      </c>
      <c r="D348" t="str" cm="1">
        <f t="array" ref="D348">IF(Sheet3!A348&lt;&gt;"",_xlfn.XLOOKUP(Sheet3!A348,FoodTable[Food],FoodTable[Calories (kcal)]*Sheet3!B348,"Not Found",,2),"")</f>
        <v/>
      </c>
      <c r="E348" t="str" cm="1">
        <f t="array" ref="E348">IF(Sheet3!A348&lt;&gt;"",_xlfn.XLOOKUP(Sheet3!A348,FoodTable[Food],FoodTable[Fats (g)]*B348,"Not Found",,2),"")</f>
        <v/>
      </c>
      <c r="F348" t="str" cm="1">
        <f t="array" ref="F348">IF(Sheet3!A348&lt;&gt;"",_xlfn.XLOOKUP(Sheet3!A348,FoodTable[Food],FoodTable[Proteins (g)]*B348,"Not Found",,2),"")</f>
        <v/>
      </c>
      <c r="G348" t="str" cm="1">
        <f t="array" ref="G348">IF(Sheet3!A348&lt;&gt;"",_xlfn.XLOOKUP(Sheet3!A348,FoodTable[Food],FoodTable[Fibers]*B348,"Not Found",,2),"")</f>
        <v/>
      </c>
      <c r="H348" t="str" cm="1">
        <f t="array" ref="H348">IF(Sheet3!A348&lt;&gt;"",_xlfn.XLOOKUP(Sheet3!A348,FoodTable[Food],FoodTable[Sugars]*B348,"Not Found",,2),"")</f>
        <v/>
      </c>
    </row>
    <row r="349" spans="2:8" x14ac:dyDescent="0.2">
      <c r="B349" t="str">
        <f t="shared" si="5"/>
        <v/>
      </c>
      <c r="C349" s="6" t="str">
        <f>IF(Sheet3!A349&lt;&gt;"",_xlfn.XLOOKUP(Sheet3!A349,FoodTable[Food],FoodTable[Per Unit],"Not Found",,2),"")</f>
        <v/>
      </c>
      <c r="D349" t="str" cm="1">
        <f t="array" ref="D349">IF(Sheet3!A349&lt;&gt;"",_xlfn.XLOOKUP(Sheet3!A349,FoodTable[Food],FoodTable[Calories (kcal)]*Sheet3!B349,"Not Found",,2),"")</f>
        <v/>
      </c>
      <c r="E349" t="str" cm="1">
        <f t="array" ref="E349">IF(Sheet3!A349&lt;&gt;"",_xlfn.XLOOKUP(Sheet3!A349,FoodTable[Food],FoodTable[Fats (g)]*B349,"Not Found",,2),"")</f>
        <v/>
      </c>
      <c r="F349" t="str" cm="1">
        <f t="array" ref="F349">IF(Sheet3!A349&lt;&gt;"",_xlfn.XLOOKUP(Sheet3!A349,FoodTable[Food],FoodTable[Proteins (g)]*B349,"Not Found",,2),"")</f>
        <v/>
      </c>
      <c r="G349" t="str" cm="1">
        <f t="array" ref="G349">IF(Sheet3!A349&lt;&gt;"",_xlfn.XLOOKUP(Sheet3!A349,FoodTable[Food],FoodTable[Fibers]*B349,"Not Found",,2),"")</f>
        <v/>
      </c>
      <c r="H349" t="str" cm="1">
        <f t="array" ref="H349">IF(Sheet3!A349&lt;&gt;"",_xlfn.XLOOKUP(Sheet3!A349,FoodTable[Food],FoodTable[Sugars]*B349,"Not Found",,2),"")</f>
        <v/>
      </c>
    </row>
    <row r="350" spans="2:8" x14ac:dyDescent="0.2">
      <c r="B350" t="str">
        <f t="shared" si="5"/>
        <v/>
      </c>
      <c r="C350" s="6" t="str">
        <f>IF(Sheet3!A350&lt;&gt;"",_xlfn.XLOOKUP(Sheet3!A350,FoodTable[Food],FoodTable[Per Unit],"Not Found",,2),"")</f>
        <v/>
      </c>
      <c r="D350" t="str" cm="1">
        <f t="array" ref="D350">IF(Sheet3!A350&lt;&gt;"",_xlfn.XLOOKUP(Sheet3!A350,FoodTable[Food],FoodTable[Calories (kcal)]*Sheet3!B350,"Not Found",,2),"")</f>
        <v/>
      </c>
      <c r="E350" t="str" cm="1">
        <f t="array" ref="E350">IF(Sheet3!A350&lt;&gt;"",_xlfn.XLOOKUP(Sheet3!A350,FoodTable[Food],FoodTable[Fats (g)]*B350,"Not Found",,2),"")</f>
        <v/>
      </c>
      <c r="F350" t="str" cm="1">
        <f t="array" ref="F350">IF(Sheet3!A350&lt;&gt;"",_xlfn.XLOOKUP(Sheet3!A350,FoodTable[Food],FoodTable[Proteins (g)]*B350,"Not Found",,2),"")</f>
        <v/>
      </c>
      <c r="G350" t="str" cm="1">
        <f t="array" ref="G350">IF(Sheet3!A350&lt;&gt;"",_xlfn.XLOOKUP(Sheet3!A350,FoodTable[Food],FoodTable[Fibers]*B350,"Not Found",,2),"")</f>
        <v/>
      </c>
      <c r="H350" t="str" cm="1">
        <f t="array" ref="H350">IF(Sheet3!A350&lt;&gt;"",_xlfn.XLOOKUP(Sheet3!A350,FoodTable[Food],FoodTable[Sugars]*B350,"Not Found",,2),"")</f>
        <v/>
      </c>
    </row>
    <row r="351" spans="2:8" x14ac:dyDescent="0.2">
      <c r="B351" t="str">
        <f t="shared" si="5"/>
        <v/>
      </c>
      <c r="C351" s="6" t="str">
        <f>IF(Sheet3!A351&lt;&gt;"",_xlfn.XLOOKUP(Sheet3!A351,FoodTable[Food],FoodTable[Per Unit],"Not Found",,2),"")</f>
        <v/>
      </c>
      <c r="D351" t="str" cm="1">
        <f t="array" ref="D351">IF(Sheet3!A351&lt;&gt;"",_xlfn.XLOOKUP(Sheet3!A351,FoodTable[Food],FoodTable[Calories (kcal)]*Sheet3!B351,"Not Found",,2),"")</f>
        <v/>
      </c>
      <c r="E351" t="str" cm="1">
        <f t="array" ref="E351">IF(Sheet3!A351&lt;&gt;"",_xlfn.XLOOKUP(Sheet3!A351,FoodTable[Food],FoodTable[Fats (g)]*B351,"Not Found",,2),"")</f>
        <v/>
      </c>
      <c r="F351" t="str" cm="1">
        <f t="array" ref="F351">IF(Sheet3!A351&lt;&gt;"",_xlfn.XLOOKUP(Sheet3!A351,FoodTable[Food],FoodTable[Proteins (g)]*B351,"Not Found",,2),"")</f>
        <v/>
      </c>
      <c r="G351" t="str" cm="1">
        <f t="array" ref="G351">IF(Sheet3!A351&lt;&gt;"",_xlfn.XLOOKUP(Sheet3!A351,FoodTable[Food],FoodTable[Fibers]*B351,"Not Found",,2),"")</f>
        <v/>
      </c>
      <c r="H351" t="str" cm="1">
        <f t="array" ref="H351">IF(Sheet3!A351&lt;&gt;"",_xlfn.XLOOKUP(Sheet3!A351,FoodTable[Food],FoodTable[Sugars]*B351,"Not Found",,2),"")</f>
        <v/>
      </c>
    </row>
    <row r="352" spans="2:8" x14ac:dyDescent="0.2">
      <c r="B352" t="str">
        <f t="shared" si="5"/>
        <v/>
      </c>
      <c r="C352" s="6" t="str">
        <f>IF(Sheet3!A352&lt;&gt;"",_xlfn.XLOOKUP(Sheet3!A352,FoodTable[Food],FoodTable[Per Unit],"Not Found",,2),"")</f>
        <v/>
      </c>
      <c r="D352" t="str" cm="1">
        <f t="array" ref="D352">IF(Sheet3!A352&lt;&gt;"",_xlfn.XLOOKUP(Sheet3!A352,FoodTable[Food],FoodTable[Calories (kcal)]*Sheet3!B352,"Not Found",,2),"")</f>
        <v/>
      </c>
      <c r="E352" t="str" cm="1">
        <f t="array" ref="E352">IF(Sheet3!A352&lt;&gt;"",_xlfn.XLOOKUP(Sheet3!A352,FoodTable[Food],FoodTable[Fats (g)]*B352,"Not Found",,2),"")</f>
        <v/>
      </c>
      <c r="F352" t="str" cm="1">
        <f t="array" ref="F352">IF(Sheet3!A352&lt;&gt;"",_xlfn.XLOOKUP(Sheet3!A352,FoodTable[Food],FoodTable[Proteins (g)]*B352,"Not Found",,2),"")</f>
        <v/>
      </c>
      <c r="G352" t="str" cm="1">
        <f t="array" ref="G352">IF(Sheet3!A352&lt;&gt;"",_xlfn.XLOOKUP(Sheet3!A352,FoodTable[Food],FoodTable[Fibers]*B352,"Not Found",,2),"")</f>
        <v/>
      </c>
      <c r="H352" t="str" cm="1">
        <f t="array" ref="H352">IF(Sheet3!A352&lt;&gt;"",_xlfn.XLOOKUP(Sheet3!A352,FoodTable[Food],FoodTable[Sugars]*B352,"Not Found",,2),"")</f>
        <v/>
      </c>
    </row>
    <row r="353" spans="2:8" x14ac:dyDescent="0.2">
      <c r="B353" t="str">
        <f t="shared" si="5"/>
        <v/>
      </c>
      <c r="C353" s="6" t="str">
        <f>IF(Sheet3!A353&lt;&gt;"",_xlfn.XLOOKUP(Sheet3!A353,FoodTable[Food],FoodTable[Per Unit],"Not Found",,2),"")</f>
        <v/>
      </c>
      <c r="D353" t="str" cm="1">
        <f t="array" ref="D353">IF(Sheet3!A353&lt;&gt;"",_xlfn.XLOOKUP(Sheet3!A353,FoodTable[Food],FoodTable[Calories (kcal)]*Sheet3!B353,"Not Found",,2),"")</f>
        <v/>
      </c>
      <c r="E353" t="str" cm="1">
        <f t="array" ref="E353">IF(Sheet3!A353&lt;&gt;"",_xlfn.XLOOKUP(Sheet3!A353,FoodTable[Food],FoodTable[Fats (g)]*B353,"Not Found",,2),"")</f>
        <v/>
      </c>
      <c r="F353" t="str" cm="1">
        <f t="array" ref="F353">IF(Sheet3!A353&lt;&gt;"",_xlfn.XLOOKUP(Sheet3!A353,FoodTable[Food],FoodTable[Proteins (g)]*B353,"Not Found",,2),"")</f>
        <v/>
      </c>
      <c r="G353" t="str" cm="1">
        <f t="array" ref="G353">IF(Sheet3!A353&lt;&gt;"",_xlfn.XLOOKUP(Sheet3!A353,FoodTable[Food],FoodTable[Fibers]*B353,"Not Found",,2),"")</f>
        <v/>
      </c>
      <c r="H353" t="str" cm="1">
        <f t="array" ref="H353">IF(Sheet3!A353&lt;&gt;"",_xlfn.XLOOKUP(Sheet3!A353,FoodTable[Food],FoodTable[Sugars]*B353,"Not Found",,2),"")</f>
        <v/>
      </c>
    </row>
    <row r="354" spans="2:8" x14ac:dyDescent="0.2">
      <c r="B354" t="str">
        <f t="shared" si="5"/>
        <v/>
      </c>
      <c r="C354" s="6" t="str">
        <f>IF(Sheet3!A354&lt;&gt;"",_xlfn.XLOOKUP(Sheet3!A354,FoodTable[Food],FoodTable[Per Unit],"Not Found",,2),"")</f>
        <v/>
      </c>
      <c r="D354" t="str" cm="1">
        <f t="array" ref="D354">IF(Sheet3!A354&lt;&gt;"",_xlfn.XLOOKUP(Sheet3!A354,FoodTable[Food],FoodTable[Calories (kcal)]*Sheet3!B354,"Not Found",,2),"")</f>
        <v/>
      </c>
      <c r="E354" t="str" cm="1">
        <f t="array" ref="E354">IF(Sheet3!A354&lt;&gt;"",_xlfn.XLOOKUP(Sheet3!A354,FoodTable[Food],FoodTable[Fats (g)]*B354,"Not Found",,2),"")</f>
        <v/>
      </c>
      <c r="F354" t="str" cm="1">
        <f t="array" ref="F354">IF(Sheet3!A354&lt;&gt;"",_xlfn.XLOOKUP(Sheet3!A354,FoodTable[Food],FoodTable[Proteins (g)]*B354,"Not Found",,2),"")</f>
        <v/>
      </c>
      <c r="G354" t="str" cm="1">
        <f t="array" ref="G354">IF(Sheet3!A354&lt;&gt;"",_xlfn.XLOOKUP(Sheet3!A354,FoodTable[Food],FoodTable[Fibers]*B354,"Not Found",,2),"")</f>
        <v/>
      </c>
      <c r="H354" t="str" cm="1">
        <f t="array" ref="H354">IF(Sheet3!A354&lt;&gt;"",_xlfn.XLOOKUP(Sheet3!A354,FoodTable[Food],FoodTable[Sugars]*B354,"Not Found",,2),"")</f>
        <v/>
      </c>
    </row>
    <row r="355" spans="2:8" x14ac:dyDescent="0.2">
      <c r="C355" s="6" t="str">
        <f>IF(Sheet3!A355&lt;&gt;"",_xlfn.XLOOKUP(Sheet3!A355,FoodTable[Food],FoodTable[Per Unit],"Not Found",,2),"")</f>
        <v/>
      </c>
      <c r="D355" t="str" cm="1">
        <f t="array" ref="D355">IF(Sheet3!A355&lt;&gt;"",_xlfn.XLOOKUP(Sheet3!A355,FoodTable[Food],FoodTable[Calories (kcal)]*Sheet3!B355,"Not Found",,2),"")</f>
        <v/>
      </c>
      <c r="E355" t="str" cm="1">
        <f t="array" ref="E355">IF(Sheet3!A355&lt;&gt;"",_xlfn.XLOOKUP(Sheet3!A355,FoodTable[Food],FoodTable[Fats (g)]*B355,"Not Found",,2),"")</f>
        <v/>
      </c>
      <c r="F355" t="str" cm="1">
        <f t="array" ref="F355">IF(Sheet3!A355&lt;&gt;"",_xlfn.XLOOKUP(Sheet3!A355,FoodTable[Food],FoodTable[Proteins (g)]*B355,"Not Found",,2),"")</f>
        <v/>
      </c>
      <c r="G355" t="str" cm="1">
        <f t="array" ref="G355">IF(Sheet3!A355&lt;&gt;"",_xlfn.XLOOKUP(Sheet3!A355,FoodTable[Food],FoodTable[Fibers]*B355,"Not Found",,2),"")</f>
        <v/>
      </c>
      <c r="H355" t="str" cm="1">
        <f t="array" ref="H355">IF(Sheet3!A355&lt;&gt;"",_xlfn.XLOOKUP(Sheet3!A355,FoodTable[Food],FoodTable[Sugars]*B355,"Not Found",,2),"")</f>
        <v/>
      </c>
    </row>
    <row r="356" spans="2:8" x14ac:dyDescent="0.2">
      <c r="C356" s="6" t="str">
        <f>IF(Sheet3!A356&lt;&gt;"",_xlfn.XLOOKUP(Sheet3!A356,FoodTable[Food],FoodTable[Per Unit],"Not Found",,2),"")</f>
        <v/>
      </c>
      <c r="D356" t="str" cm="1">
        <f t="array" ref="D356">IF(Sheet3!A356&lt;&gt;"",_xlfn.XLOOKUP(Sheet3!A356,FoodTable[Food],FoodTable[Calories (kcal)]*Sheet3!B356,"Not Found",,2),"")</f>
        <v/>
      </c>
      <c r="E356" t="str" cm="1">
        <f t="array" ref="E356">IF(Sheet3!A356&lt;&gt;"",_xlfn.XLOOKUP(Sheet3!A356,FoodTable[Food],FoodTable[Fats (g)]*B356,"Not Found",,2),"")</f>
        <v/>
      </c>
      <c r="F356" t="str" cm="1">
        <f t="array" ref="F356">IF(Sheet3!A356&lt;&gt;"",_xlfn.XLOOKUP(Sheet3!A356,FoodTable[Food],FoodTable[Proteins (g)]*B356,"Not Found",,2),"")</f>
        <v/>
      </c>
      <c r="G356" t="str" cm="1">
        <f t="array" ref="G356">IF(Sheet3!A356&lt;&gt;"",_xlfn.XLOOKUP(Sheet3!A356,FoodTable[Food],FoodTable[Fibers]*B356,"Not Found",,2),"")</f>
        <v/>
      </c>
      <c r="H356" t="str" cm="1">
        <f t="array" ref="H356">IF(Sheet3!A356&lt;&gt;"",_xlfn.XLOOKUP(Sheet3!A356,FoodTable[Food],FoodTable[Sugars]*B356,"Not Found",,2),"")</f>
        <v/>
      </c>
    </row>
    <row r="357" spans="2:8" x14ac:dyDescent="0.2">
      <c r="D357" t="str" cm="1">
        <f t="array" ref="D357">IF(Sheet3!A357&lt;&gt;"",_xlfn.XLOOKUP(Sheet3!A357,FoodTable[Food],FoodTable[Calories (kcal)]*Sheet3!B357,"Not Found",,2),"")</f>
        <v/>
      </c>
      <c r="E357" t="str" cm="1">
        <f t="array" ref="E357">IF(Sheet3!A357&lt;&gt;"",_xlfn.XLOOKUP(Sheet3!A357,FoodTable[Food],FoodTable[Fats (g)]*B357,"Not Found",,2),"")</f>
        <v/>
      </c>
      <c r="F357" t="str" cm="1">
        <f t="array" ref="F357">IF(Sheet3!A357&lt;&gt;"",_xlfn.XLOOKUP(Sheet3!A357,FoodTable[Food],FoodTable[Proteins (g)]*B357,"Not Found",,2),"")</f>
        <v/>
      </c>
      <c r="G357" t="str" cm="1">
        <f t="array" ref="G357">IF(Sheet3!A357&lt;&gt;"",_xlfn.XLOOKUP(Sheet3!A357,FoodTable[Food],FoodTable[Fibers]*B357,"Not Found",,2),"")</f>
        <v/>
      </c>
      <c r="H357" t="str" cm="1">
        <f t="array" ref="H357">IF(Sheet3!A357&lt;&gt;"",_xlfn.XLOOKUP(Sheet3!A357,FoodTable[Food],FoodTable[Sugars]*B357,"Not Found",,2),"")</f>
        <v/>
      </c>
    </row>
  </sheetData>
  <mergeCells count="15">
    <mergeCell ref="K7:L7"/>
    <mergeCell ref="P4:Q4"/>
    <mergeCell ref="K4:L5"/>
    <mergeCell ref="M4:M5"/>
    <mergeCell ref="N4:N5"/>
    <mergeCell ref="O4:O5"/>
    <mergeCell ref="K6:L6"/>
    <mergeCell ref="O1:Q1"/>
    <mergeCell ref="O2:Q2"/>
    <mergeCell ref="G1:H1"/>
    <mergeCell ref="B1:C1"/>
    <mergeCell ref="A1:A2"/>
    <mergeCell ref="D1:D2"/>
    <mergeCell ref="E1:E2"/>
    <mergeCell ref="F1:F2"/>
  </mergeCells>
  <dataValidations count="1">
    <dataValidation type="list" showInputMessage="1" showErrorMessage="1" promptTitle="Select item" sqref="A3:A356" xr:uid="{0E884B8F-03A6-453B-9571-C43275F8D922}">
      <formula1>INDIRECT("FoodTable[Food]")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learButton">
          <controlPr defaultSize="0" autoLine="0" autoPict="0" r:id="rId4">
            <anchor moveWithCells="1">
              <from>
                <xdr:col>9</xdr:col>
                <xdr:colOff>676275</xdr:colOff>
                <xdr:row>9</xdr:row>
                <xdr:rowOff>76200</xdr:rowOff>
              </from>
              <to>
                <xdr:col>13</xdr:col>
                <xdr:colOff>76200</xdr:colOff>
                <xdr:row>11</xdr:row>
                <xdr:rowOff>85725</xdr:rowOff>
              </to>
            </anchor>
          </controlPr>
        </control>
      </mc:Choice>
      <mc:Fallback>
        <control shapeId="1030" r:id="rId3" name="Clear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3BCA60-7B35-4F9E-963C-E96624796941}">
          <x14:formula1>
            <xm:f>Sheet2!$A$3:$A$4</xm:f>
          </x14:formula1>
          <xm:sqref>K2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Garancher</dc:creator>
  <cp:lastModifiedBy>Michael Garancher</cp:lastModifiedBy>
  <dcterms:created xsi:type="dcterms:W3CDTF">2024-12-27T12:31:50Z</dcterms:created>
  <dcterms:modified xsi:type="dcterms:W3CDTF">2025-01-23T15:07:35Z</dcterms:modified>
</cp:coreProperties>
</file>